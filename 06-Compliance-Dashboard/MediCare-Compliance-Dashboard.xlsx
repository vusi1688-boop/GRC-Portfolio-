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Dashboard" sheetId="1" r:id="rId5"/>
    <sheet state="visible" name="Control Tracker" sheetId="2" r:id="rId6"/>
    <sheet state="visible" name="Risk Summary" sheetId="3" r:id="rId7"/>
    <sheet state="visible" name="Vendor Status" sheetId="4" r:id="rId8"/>
    <sheet state="visible" name="Incident &amp; CAPA" sheetId="5" r:id="rId9"/>
    <sheet state="visible" name="Cloud Evidence Status" sheetId="6" r:id="rId10"/>
    <sheet state="visible" name="POPIA Obligations" sheetId="7" r:id="rId11"/>
    <sheet state="visible" name="Data Dictionary" sheetId="8" r:id="rId12"/>
  </sheets>
  <definedNames/>
  <calcPr/>
</workbook>
</file>

<file path=xl/sharedStrings.xml><?xml version="1.0" encoding="utf-8"?>
<sst xmlns="http://schemas.openxmlformats.org/spreadsheetml/2006/main" count="787" uniqueCount="403">
  <si>
    <t>Risk ID</t>
  </si>
  <si>
    <t>Control ID</t>
  </si>
  <si>
    <t>Risk Title</t>
  </si>
  <si>
    <t>Inherent Score</t>
  </si>
  <si>
    <t>Rating</t>
  </si>
  <si>
    <t>Residual Score</t>
  </si>
  <si>
    <t>Domain</t>
  </si>
  <si>
    <t>Residual Rating</t>
  </si>
  <si>
    <t>Status</t>
  </si>
  <si>
    <t>Control Name</t>
  </si>
  <si>
    <t>Owner</t>
  </si>
  <si>
    <t>Source Project</t>
  </si>
  <si>
    <t>Linked Controls</t>
  </si>
  <si>
    <t>ISO 27001</t>
  </si>
  <si>
    <t>Treatment Due</t>
  </si>
  <si>
    <t>POPIA</t>
  </si>
  <si>
    <t>Dashboard Flag</t>
  </si>
  <si>
    <t/>
  </si>
  <si>
    <t>Maturity 1-5</t>
  </si>
  <si>
    <t>Vendor ID</t>
  </si>
  <si>
    <t>Evidence</t>
  </si>
  <si>
    <t>RSK-001</t>
  </si>
  <si>
    <t>Due Date</t>
  </si>
  <si>
    <t>Commentary</t>
  </si>
  <si>
    <t>Ransomware on PHRS</t>
  </si>
  <si>
    <t>Vendor</t>
  </si>
  <si>
    <t>CRITICAL</t>
  </si>
  <si>
    <t>CTL-001</t>
  </si>
  <si>
    <t>Governance</t>
  </si>
  <si>
    <t>MEDIUM</t>
  </si>
  <si>
    <t>Tier</t>
  </si>
  <si>
    <t>Open</t>
  </si>
  <si>
    <t>Information Security Policy</t>
  </si>
  <si>
    <t>IT Manager</t>
  </si>
  <si>
    <t>Service</t>
  </si>
  <si>
    <t>MFA, EDR, Backup</t>
  </si>
  <si>
    <t>P1</t>
  </si>
  <si>
    <t>A.5.1</t>
  </si>
  <si>
    <t>VSAQ Score</t>
  </si>
  <si>
    <t>Sec 19</t>
  </si>
  <si>
    <t>Partial</t>
  </si>
  <si>
    <t>POPIA Agreement</t>
  </si>
  <si>
    <t>CEO</t>
  </si>
  <si>
    <t>Risk Rating</t>
  </si>
  <si>
    <t>RED</t>
  </si>
  <si>
    <t>Policy draft</t>
  </si>
  <si>
    <t>RSK-002</t>
  </si>
  <si>
    <t>Stolen unencrypted laptop</t>
  </si>
  <si>
    <t>Awaiting approval</t>
  </si>
  <si>
    <t>Next Action</t>
  </si>
  <si>
    <t>LOW</t>
  </si>
  <si>
    <t>BitLocker</t>
  </si>
  <si>
    <t>RSK-003</t>
  </si>
  <si>
    <t>Phishing account takeover</t>
  </si>
  <si>
    <t>VEN-001</t>
  </si>
  <si>
    <t>PathLab SA</t>
  </si>
  <si>
    <t>Tier 1</t>
  </si>
  <si>
    <t>CTL-002</t>
  </si>
  <si>
    <t>Pathology API</t>
  </si>
  <si>
    <t>MFA, Awareness</t>
  </si>
  <si>
    <t>Information Officer appointed</t>
  </si>
  <si>
    <t>RSK-004</t>
  </si>
  <si>
    <t>No registered Information Officer</t>
  </si>
  <si>
    <t>A.5.2</t>
  </si>
  <si>
    <t>Sec 55</t>
  </si>
  <si>
    <t>Missing</t>
  </si>
  <si>
    <t>IO appointment</t>
  </si>
  <si>
    <t>Registration proof</t>
  </si>
  <si>
    <t>RSK-005</t>
  </si>
  <si>
    <t>Critical legal gap</t>
  </si>
  <si>
    <t>No IR / POPIA 72h process</t>
  </si>
  <si>
    <t>CTL-003</t>
  </si>
  <si>
    <t>Identity</t>
  </si>
  <si>
    <t>Mitigating</t>
  </si>
  <si>
    <t>MFA on privileged systems</t>
  </si>
  <si>
    <t>IR Lead</t>
  </si>
  <si>
    <t>P1/P5</t>
  </si>
  <si>
    <t>IR plan</t>
  </si>
  <si>
    <t>A.8.5</t>
  </si>
  <si>
    <t>AMBER</t>
  </si>
  <si>
    <t>Pending</t>
  </si>
  <si>
    <t>Medium</t>
  </si>
  <si>
    <t>RSK-007</t>
  </si>
  <si>
    <t>Conditional</t>
  </si>
  <si>
    <t>Vendor without POPIA agreement</t>
  </si>
  <si>
    <t>EVD-001</t>
  </si>
  <si>
    <t>GRC Analyst</t>
  </si>
  <si>
    <t>HIGH</t>
  </si>
  <si>
    <t>Sign DPA + enforce MFA</t>
  </si>
  <si>
    <t>Root done; all users pending</t>
  </si>
  <si>
    <t>CTL-004</t>
  </si>
  <si>
    <t>DPA + VSAQ</t>
  </si>
  <si>
    <t>Endpoint</t>
  </si>
  <si>
    <t>Laptop encryption</t>
  </si>
  <si>
    <t>VEN-002</t>
  </si>
  <si>
    <t>RSK-008</t>
  </si>
  <si>
    <t>CloudMed Systems</t>
  </si>
  <si>
    <t>Load shedding system impact</t>
  </si>
  <si>
    <t>P1/P2</t>
  </si>
  <si>
    <t>A.8.24</t>
  </si>
  <si>
    <t>PHRS SaaS</t>
  </si>
  <si>
    <t>Yes</t>
  </si>
  <si>
    <t>Low</t>
  </si>
  <si>
    <t>UPS/cloud failover</t>
  </si>
  <si>
    <t>Approved</t>
  </si>
  <si>
    <t>BitLocker report</t>
  </si>
  <si>
    <t>Annual reassessment</t>
  </si>
  <si>
    <t>Critical</t>
  </si>
  <si>
    <t>RSK-009</t>
  </si>
  <si>
    <t>Untested backups</t>
  </si>
  <si>
    <t>VEN-003</t>
  </si>
  <si>
    <t>CTL-005</t>
  </si>
  <si>
    <t>PharmaLink SA</t>
  </si>
  <si>
    <t>Logging</t>
  </si>
  <si>
    <t>Tier 2</t>
  </si>
  <si>
    <t>Event logging enabled</t>
  </si>
  <si>
    <t>e-Prescriptions</t>
  </si>
  <si>
    <t>Restore test</t>
  </si>
  <si>
    <t>A.8.15</t>
  </si>
  <si>
    <t>Under Review</t>
  </si>
  <si>
    <t>RSK-013</t>
  </si>
  <si>
    <t>In Review</t>
  </si>
  <si>
    <t>SIM swap / weak OTP</t>
  </si>
  <si>
    <t>EVD-004</t>
  </si>
  <si>
    <t>CloudTrail on</t>
  </si>
  <si>
    <t>Complete VSAQ</t>
  </si>
  <si>
    <t>Finance/IT</t>
  </si>
  <si>
    <t>CTL-006</t>
  </si>
  <si>
    <t>VEN-004</t>
  </si>
  <si>
    <t>App MFA</t>
  </si>
  <si>
    <t>Backup</t>
  </si>
  <si>
    <t>NetCare Telecoms</t>
  </si>
  <si>
    <t>Tested backups</t>
  </si>
  <si>
    <t>P2</t>
  </si>
  <si>
    <t>Connectivity</t>
  </si>
  <si>
    <t>A.8.13</t>
  </si>
  <si>
    <t>Monitor uptime</t>
  </si>
  <si>
    <t>Restore test log</t>
  </si>
  <si>
    <t>Configured not tested</t>
  </si>
  <si>
    <t>VEN-005</t>
  </si>
  <si>
    <t>WasteCare SA</t>
  </si>
  <si>
    <t>CTL-007</t>
  </si>
  <si>
    <t>Awareness</t>
  </si>
  <si>
    <t>Secure destruction</t>
  </si>
  <si>
    <t>Security awareness training</t>
  </si>
  <si>
    <t>A.6.3</t>
  </si>
  <si>
    <t>Facilities</t>
  </si>
  <si>
    <t>Annual cert check</t>
  </si>
  <si>
    <t>HR</t>
  </si>
  <si>
    <t>Attendance register</t>
  </si>
  <si>
    <t>Not started</t>
  </si>
  <si>
    <t>CTL-008</t>
  </si>
  <si>
    <t>IR</t>
  </si>
  <si>
    <t>Incident response plan</t>
  </si>
  <si>
    <t>P4</t>
  </si>
  <si>
    <t>A.5.24-28</t>
  </si>
  <si>
    <t>Sec 22</t>
  </si>
  <si>
    <t>Implemented</t>
  </si>
  <si>
    <t>IR plan + tabletop</t>
  </si>
  <si>
    <t>Tested</t>
  </si>
  <si>
    <t>CTL-009</t>
  </si>
  <si>
    <t>Supplier security management</t>
  </si>
  <si>
    <t>P3</t>
  </si>
  <si>
    <t>A.5.19-22</t>
  </si>
  <si>
    <t>Sec 21</t>
  </si>
  <si>
    <t>VSAQ pack</t>
  </si>
  <si>
    <t>PathLab conditional</t>
  </si>
  <si>
    <t>CTL-010</t>
  </si>
  <si>
    <t>Cloud</t>
  </si>
  <si>
    <t>S3 public access block</t>
  </si>
  <si>
    <t>P5</t>
  </si>
  <si>
    <t>A.8.10</t>
  </si>
  <si>
    <t>EVD-007</t>
  </si>
  <si>
    <t>Complete</t>
  </si>
  <si>
    <t>CTL-011</t>
  </si>
  <si>
    <t>Encryption at rest</t>
  </si>
  <si>
    <t>EVD-006</t>
  </si>
  <si>
    <t>CTL-012</t>
  </si>
  <si>
    <t>Access</t>
  </si>
  <si>
    <t>Quarterly access review</t>
  </si>
  <si>
    <t>P2/P5</t>
  </si>
  <si>
    <t>A.8.2</t>
  </si>
  <si>
    <t>Review sheet</t>
  </si>
  <si>
    <t>Process needed</t>
  </si>
  <si>
    <t>CTL-013</t>
  </si>
  <si>
    <t>Network</t>
  </si>
  <si>
    <t>Restrictive security groups</t>
  </si>
  <si>
    <t>A.8.20</t>
  </si>
  <si>
    <t>EVD-008</t>
  </si>
  <si>
    <t>CTL-014</t>
  </si>
  <si>
    <t>Privacy</t>
  </si>
  <si>
    <t>POPIA breach notification process</t>
  </si>
  <si>
    <t>A.5.26</t>
  </si>
  <si>
    <t>Information Officer</t>
  </si>
  <si>
    <t>Form 4 template</t>
  </si>
  <si>
    <t>Tested in tabletop</t>
  </si>
  <si>
    <t>CTL-015</t>
  </si>
  <si>
    <t>Operator agreements Tier-1</t>
  </si>
  <si>
    <t>A.5.20</t>
  </si>
  <si>
    <t>Signed DPAs</t>
  </si>
  <si>
    <t>1 outstanding</t>
  </si>
  <si>
    <t>Evidence ID</t>
  </si>
  <si>
    <t>Control Theme</t>
  </si>
  <si>
    <t>Description</t>
  </si>
  <si>
    <t>Linked Control</t>
  </si>
  <si>
    <t>Last Reviewed</t>
  </si>
  <si>
    <t>Portfolio Ref</t>
  </si>
  <si>
    <t>Root MFA enabled</t>
  </si>
  <si>
    <t>Captured</t>
  </si>
  <si>
    <t>CLD-002</t>
  </si>
  <si>
    <t>Project 5</t>
  </si>
  <si>
    <t>EVD-002</t>
  </si>
  <si>
    <t>Password policy</t>
  </si>
  <si>
    <t>CLD-003</t>
  </si>
  <si>
    <t>EVD-003</t>
  </si>
  <si>
    <t>Least privilege IAM</t>
  </si>
  <si>
    <t>CLD-001/004</t>
  </si>
  <si>
    <t>Item ID</t>
  </si>
  <si>
    <t>CloudTrail enabled</t>
  </si>
  <si>
    <t>CLD-006</t>
  </si>
  <si>
    <t>EVD-005</t>
  </si>
  <si>
    <t>Type</t>
  </si>
  <si>
    <t>Log validation</t>
  </si>
  <si>
    <t>Title</t>
  </si>
  <si>
    <t>CLD-008</t>
  </si>
  <si>
    <t>Source</t>
  </si>
  <si>
    <t>Priority</t>
  </si>
  <si>
    <t>Encryption</t>
  </si>
  <si>
    <t>S3 default encryption</t>
  </si>
  <si>
    <t>CLD-009</t>
  </si>
  <si>
    <t>Opened</t>
  </si>
  <si>
    <t>Due</t>
  </si>
  <si>
    <t>Linked Risk</t>
  </si>
  <si>
    <t>Exposure</t>
  </si>
  <si>
    <t>Notes</t>
  </si>
  <si>
    <t>S3 block public access</t>
  </si>
  <si>
    <t>CLD-010</t>
  </si>
  <si>
    <t>INC-2026-03-001</t>
  </si>
  <si>
    <t>Restrictive SG rules</t>
  </si>
  <si>
    <t>Incident</t>
  </si>
  <si>
    <t>Phishing simulation scenario</t>
  </si>
  <si>
    <t>CLD-011</t>
  </si>
  <si>
    <t>Tabletop</t>
  </si>
  <si>
    <t>Closed</t>
  </si>
  <si>
    <t>EVD-009</t>
  </si>
  <si>
    <t>No open admin ports</t>
  </si>
  <si>
    <t>CLD-012</t>
  </si>
  <si>
    <t>Training case</t>
  </si>
  <si>
    <t>EVD-010</t>
  </si>
  <si>
    <t>Monitoring</t>
  </si>
  <si>
    <t>CA-001</t>
  </si>
  <si>
    <t>CloudWatch alarm</t>
  </si>
  <si>
    <t>CAPA</t>
  </si>
  <si>
    <t>Enable MFA on Microsoft 365</t>
  </si>
  <si>
    <t>CLD-007</t>
  </si>
  <si>
    <t>EVD-011</t>
  </si>
  <si>
    <t>Backup configuration</t>
  </si>
  <si>
    <t>CLD-013</t>
  </si>
  <si>
    <t>Highest priority</t>
  </si>
  <si>
    <t>EVD-012</t>
  </si>
  <si>
    <t>CA-002</t>
  </si>
  <si>
    <t>Access Review</t>
  </si>
  <si>
    <t>IAM credential report</t>
  </si>
  <si>
    <t>Create evidence log template</t>
  </si>
  <si>
    <t>CLD-005</t>
  </si>
  <si>
    <t>High</t>
  </si>
  <si>
    <t>In progress</t>
  </si>
  <si>
    <t>CA-003</t>
  </si>
  <si>
    <t>Pre-populate POPIA Form 4</t>
  </si>
  <si>
    <t>Template drafted</t>
  </si>
  <si>
    <t>CA-004</t>
  </si>
  <si>
    <t>Obligation ID</t>
  </si>
  <si>
    <t>Front-desk incident call script</t>
  </si>
  <si>
    <t>POPIA Reference</t>
  </si>
  <si>
    <t>Obligation</t>
  </si>
  <si>
    <t>Current State</t>
  </si>
  <si>
    <t>RAG</t>
  </si>
  <si>
    <t>CA-005</t>
  </si>
  <si>
    <t>Enable DLP bulk export alerts</t>
  </si>
  <si>
    <t>Planned</t>
  </si>
  <si>
    <t>POP-001</t>
  </si>
  <si>
    <t>Register Information Officer</t>
  </si>
  <si>
    <t>Not registered</t>
  </si>
  <si>
    <t>IO registration proof</t>
  </si>
  <si>
    <t>CA-006</t>
  </si>
  <si>
    <t>POP-002</t>
  </si>
  <si>
    <t>Security safeguards</t>
  </si>
  <si>
    <t>Gap Assessment</t>
  </si>
  <si>
    <t>Controls + cloud evidence</t>
  </si>
  <si>
    <t>POP-003</t>
  </si>
  <si>
    <t>Operator agreements</t>
  </si>
  <si>
    <t>Legal critical</t>
  </si>
  <si>
    <t>CA-007</t>
  </si>
  <si>
    <t>PathLab outstanding</t>
  </si>
  <si>
    <t>Sign PathLab POPIA DPA</t>
  </si>
  <si>
    <t>Vendor Assessment</t>
  </si>
  <si>
    <t>POP-004</t>
  </si>
  <si>
    <t>Breach notification process</t>
  </si>
  <si>
    <t>GREEN</t>
  </si>
  <si>
    <t>Conditional approval</t>
  </si>
  <si>
    <t>IR plan + Form 4</t>
  </si>
  <si>
    <t>Tabletop done</t>
  </si>
  <si>
    <t>POP-005</t>
  </si>
  <si>
    <t>Sec 17</t>
  </si>
  <si>
    <t>Documentation of processing</t>
  </si>
  <si>
    <t>Processing records</t>
  </si>
  <si>
    <t>Need RoPA</t>
  </si>
  <si>
    <t>POP-006</t>
  </si>
  <si>
    <t>Sec 18</t>
  </si>
  <si>
    <t>Data subject participation process</t>
  </si>
  <si>
    <t>DSAR procedure</t>
  </si>
  <si>
    <t>Not built yet</t>
  </si>
  <si>
    <t>POP-007</t>
  </si>
  <si>
    <t>Sec 14</t>
  </si>
  <si>
    <t>Retention &amp; disposal</t>
  </si>
  <si>
    <t>Records Owner</t>
  </si>
  <si>
    <t>Retention schedule</t>
  </si>
  <si>
    <t>Healthcare retention rules</t>
  </si>
  <si>
    <t>POP-008</t>
  </si>
  <si>
    <t>Sec 72</t>
  </si>
  <si>
    <t>Cross-border transfer controls</t>
  </si>
  <si>
    <t>Region hosting proof</t>
  </si>
  <si>
    <t>Prefer SA region</t>
  </si>
  <si>
    <t>Term</t>
  </si>
  <si>
    <t>Definition</t>
  </si>
  <si>
    <t>RAG Rule</t>
  </si>
  <si>
    <t>Refresh Frequency</t>
  </si>
  <si>
    <t>RAG Red</t>
  </si>
  <si>
    <t>Critical exposure or overdue legal/control failure</t>
  </si>
  <si>
    <t>Immediate action required</t>
  </si>
  <si>
    <t>Weekly</t>
  </si>
  <si>
    <t>All</t>
  </si>
  <si>
    <t>RAG Amber</t>
  </si>
  <si>
    <t>Partial implementation or tolerable short-term risk</t>
  </si>
  <si>
    <t>Action planned</t>
  </si>
  <si>
    <t>RAG Green</t>
  </si>
  <si>
    <t>Implemented and operating with evidence</t>
  </si>
  <si>
    <t>Monitor</t>
  </si>
  <si>
    <t>Monthly</t>
  </si>
  <si>
    <t>Overall Compliance Posture</t>
  </si>
  <si>
    <t>Weighted % of key controls implemented</t>
  </si>
  <si>
    <t>&lt;50 Red; 50-79 Amber; 80+ Green</t>
  </si>
  <si>
    <t>P1 P5</t>
  </si>
  <si>
    <t>Audit Readiness Score</t>
  </si>
  <si>
    <t>Policies + risks + evidence + CAPA health</t>
  </si>
  <si>
    <t>Bi-weekly</t>
  </si>
  <si>
    <t>Critical Risk</t>
  </si>
  <si>
    <t>Score 20-25 inherent</t>
  </si>
  <si>
    <t>Must have active treatment</t>
  </si>
  <si>
    <t>Corrective and Preventive Action</t>
  </si>
  <si>
    <t>Overdue = Amber/Red</t>
  </si>
  <si>
    <t>Unique proof artifact reference</t>
  </si>
  <si>
    <t>Must map to control</t>
  </si>
  <si>
    <t>Tier-1 Vendor</t>
  </si>
  <si>
    <t>Processes special personal info or core clinical systems</t>
  </si>
  <si>
    <t>Agreement mandatory</t>
  </si>
  <si>
    <t>MediCare Connect Executive GRC Dashboard — March 2026</t>
  </si>
  <si>
    <t xml:space="preserve">Control Status </t>
  </si>
  <si>
    <t xml:space="preserve">Count </t>
  </si>
  <si>
    <t>Section</t>
  </si>
  <si>
    <t>Metric</t>
  </si>
  <si>
    <t>Value</t>
  </si>
  <si>
    <t>Trend</t>
  </si>
  <si>
    <t>OVERVIEW</t>
  </si>
  <si>
    <t>UP</t>
  </si>
  <si>
    <t>Close critical gaps</t>
  </si>
  <si>
    <t xml:space="preserve">Partial </t>
  </si>
  <si>
    <t>Complete evidence pack</t>
  </si>
  <si>
    <t>Open Critical Risks</t>
  </si>
  <si>
    <t>FLAT</t>
  </si>
  <si>
    <t>Treat top 3 risks</t>
  </si>
  <si>
    <t>Open High Risks</t>
  </si>
  <si>
    <t>DOWN</t>
  </si>
  <si>
    <t>Weekly risk review</t>
  </si>
  <si>
    <t>Risk Severity</t>
  </si>
  <si>
    <t>Count</t>
  </si>
  <si>
    <t>Overdue CAPA Items</t>
  </si>
  <si>
    <t>Clear overdue actions</t>
  </si>
  <si>
    <t>Information Officer Registered</t>
  </si>
  <si>
    <t>NO</t>
  </si>
  <si>
    <t>Register IO</t>
  </si>
  <si>
    <t>72h Breach Process Tested</t>
  </si>
  <si>
    <t>YES</t>
  </si>
  <si>
    <t>IO / IR Lead</t>
  </si>
  <si>
    <t>Maintain readiness</t>
  </si>
  <si>
    <t>Tier-1 Operator Agreements Complete</t>
  </si>
  <si>
    <t>Sign PathLab DPA</t>
  </si>
  <si>
    <t>Policies Approved</t>
  </si>
  <si>
    <t>PARTIAL</t>
  </si>
  <si>
    <t>Approve IS Policy pack</t>
  </si>
  <si>
    <t>Control Implementation</t>
  </si>
  <si>
    <t>MFA + encryption first</t>
  </si>
  <si>
    <t>CLOUD</t>
  </si>
  <si>
    <t>SOC2 Evidence Coverage</t>
  </si>
  <si>
    <t>Close partial controls</t>
  </si>
  <si>
    <t>VENDOR</t>
  </si>
  <si>
    <t>Critical Vendors Assessed</t>
  </si>
  <si>
    <t>2 of 3</t>
  </si>
  <si>
    <t>Complete PharmaLink</t>
  </si>
  <si>
    <t>Tabletop Completed</t>
  </si>
  <si>
    <t>Track CAPA CA-001 to CA-005</t>
  </si>
  <si>
    <t>Open Incident CAPA</t>
  </si>
  <si>
    <t>Close MFA CAPA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</si>
</sst>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b/>
      <color rgb="FFFFFFFF"/>
      <name val="BaselGroteskMono"/>
    </font>
    <font>
      <color rgb="FF24292E"/>
      <name val="BaselGroteskMono"/>
    </font>
    <font>
      <b/>
      <color rgb="FFFFFFFF"/>
      <name val="Arial"/>
    </font>
    <font>
      <color rgb="FF24292E"/>
      <name val="Arial"/>
    </font>
    <font>
      <b/>
      <sz val="16.0"/>
      <color rgb="FF24292E"/>
      <name val="Arial"/>
    </font>
    <font>
      <sz val="9.0"/>
      <color rgb="FF24292E"/>
      <name val="Arial"/>
    </font>
    <font>
      <color theme="1"/>
      <name val="Arial"/>
      <scheme val="minor"/>
    </font>
    <font>
      <b/>
      <sz val="10.0"/>
      <color rgb="FF24292E"/>
      <name val="Arial"/>
    </font>
    <font>
      <sz val="11.0"/>
      <color rgb="FF2E2B29"/>
      <name val="BaselGroteskMono"/>
    </font>
    <font>
      <sz val="11.0"/>
      <color rgb="FF2E2B29"/>
      <name val="Arial"/>
    </font>
    <font>
      <b/>
      <sz val="10.0"/>
      <color theme="1"/>
      <name val="Arial"/>
      <scheme val="minor"/>
    </font>
    <font>
      <sz val="9.0"/>
      <color rgb="FFFFFFFF"/>
      <name val="Arial"/>
    </font>
    <font>
      <color rgb="FF2E2B29"/>
      <name val="Arial"/>
    </font>
    <font>
      <color rgb="FF2E2B29"/>
      <name val="BaselGroteskMono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F0EB"/>
        <bgColor rgb="FFF4F0EB"/>
      </patternFill>
    </fill>
  </fills>
  <borders count="2">
    <border/>
    <border>
      <top style="medium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164" xfId="0" applyAlignment="1" applyFill="1" applyFont="1" applyNumberFormat="1">
      <alignment horizontal="center" readingOrder="0" shrinkToFit="0" vertical="center" wrapText="1"/>
    </xf>
    <xf borderId="0" fillId="3" fontId="2" numFmtId="9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readingOrder="0"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shrinkToFit="0" wrapText="1"/>
    </xf>
    <xf borderId="0" fillId="3" fontId="5" numFmtId="0" xfId="0" applyAlignment="1" applyFill="1" applyFont="1">
      <alignment horizontal="center" readingOrder="0" shrinkToFit="0" wrapText="1"/>
    </xf>
    <xf borderId="0" fillId="3" fontId="6" numFmtId="0" xfId="0" applyAlignment="1" applyFill="1" applyFont="1">
      <alignment readingOrder="0" shrinkToFit="0" wrapText="1"/>
    </xf>
    <xf borderId="0" fillId="0" fontId="7" numFmtId="0" xfId="0" applyAlignment="1" applyFont="1">
      <alignment readingOrder="0"/>
    </xf>
    <xf borderId="1" fillId="4" fontId="8" numFmtId="0" xfId="0" applyAlignment="1" applyBorder="1" applyFill="1" applyFont="1">
      <alignment horizontal="center" readingOrder="0" shrinkToFit="0" wrapText="1"/>
    </xf>
    <xf borderId="0" fillId="5" fontId="9" numFmtId="0" xfId="0" applyAlignment="1" applyFill="1" applyFont="1">
      <alignment readingOrder="0"/>
    </xf>
    <xf borderId="0" fillId="5" fontId="10" numFmtId="0" xfId="0" applyAlignment="1" applyFill="1" applyFont="1">
      <alignment readingOrder="0"/>
    </xf>
    <xf borderId="1" fillId="4" fontId="11" numFmtId="0" xfId="0" applyAlignment="1" applyBorder="1" applyFill="1" applyFont="1">
      <alignment horizontal="center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6" numFmtId="9" xfId="0" applyAlignment="1" applyFill="1" applyFont="1" applyNumberFormat="1">
      <alignment horizontal="center" readingOrder="0" shrinkToFit="0" vertical="center" wrapText="1"/>
    </xf>
    <xf borderId="0" fillId="3" fontId="12" numFmtId="0" xfId="0" applyAlignment="1" applyFill="1" applyFont="1">
      <alignment horizontal="center" readingOrder="0" shrinkToFit="0" vertical="center" wrapText="1"/>
    </xf>
    <xf borderId="0" fillId="3" fontId="6" numFmtId="164" xfId="0" applyAlignment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5" fontId="13" numFmtId="0" xfId="0" applyAlignment="1" applyFill="1" applyFont="1">
      <alignment readingOrder="0"/>
    </xf>
    <xf borderId="0" fillId="0" fontId="7" numFmtId="0" xfId="0" applyAlignment="1" applyFont="1">
      <alignment horizontal="center" vertical="center"/>
    </xf>
    <xf borderId="0" fillId="5" fontId="14" numFmtId="0" xfId="0" applyFill="1" applyFont="1"/>
  </cellXfs>
  <cellStyles count="1">
    <cellStyle xfId="0" name="Normal" builtinId="0"/>
  </cellStyles>
  <dxfs count="20"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73763"/>
      </font>
      <fill>
        <patternFill patternType="solid">
          <fgColor rgb="FFD0E0E3"/>
          <bgColor rgb="FFD0E0E3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color rgb="FF660000"/>
      </font>
      <fill>
        <patternFill patternType="solid">
          <fgColor rgb="FFE06666"/>
          <bgColor rgb="FFE06666"/>
        </patternFill>
      </fill>
      <border/>
    </dxf>
    <dxf>
      <font>
        <color rgb="FF783F04"/>
      </font>
      <fill>
        <patternFill patternType="solid">
          <fgColor rgb="FFF6B26B"/>
          <bgColor rgb="FFF6B26B"/>
        </patternFill>
      </fill>
      <border/>
    </dxf>
    <dxf>
      <font>
        <color rgb="FF783F04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E69138"/>
      </font>
      <fill>
        <patternFill patternType="solid">
          <fgColor rgb="FFFFF2CC"/>
          <bgColor rgb="FFFFF2CC"/>
        </patternFill>
      </fill>
      <border/>
    </dxf>
    <dxf>
      <font>
        <color rgb="FF6AA84F"/>
      </font>
      <fill>
        <patternFill patternType="solid">
          <fgColor rgb="FFD9EAD3"/>
          <bgColor rgb="FFD9EAD3"/>
        </patternFill>
      </fill>
      <border/>
    </dxf>
    <dxf>
      <font>
        <b/>
        <color rgb="FFCC0000"/>
      </font>
      <fill>
        <patternFill patternType="solid">
          <fgColor theme="5"/>
          <bgColor theme="5"/>
        </patternFill>
      </fill>
      <border/>
    </dxf>
    <dxf>
      <font>
        <b/>
        <color rgb="FF783F04"/>
      </font>
      <fill>
        <patternFill patternType="solid">
          <fgColor rgb="FFFCE5CD"/>
          <bgColor rgb="FFFCE5CD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ISO 27001 &amp; POPIA Control Posture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Dashboard'!$K$1</c:f>
            </c:strRef>
          </c:tx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'Executive Dashboard'!$J$2:$J$4</c:f>
            </c:strRef>
          </c:cat>
          <c:val>
            <c:numRef>
              <c:f>'Executive Dashboard'!$K$2:$K$4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Active Risk Profile by Severity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'Executive Dashboard'!$K$6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'Executive Dashboard'!$J$7:$J$10</c:f>
            </c:strRef>
          </c:cat>
          <c:val>
            <c:numRef>
              <c:f>'Executive Dashboard'!$K$7:$K$10</c:f>
              <c:numCache/>
            </c:numRef>
          </c:val>
        </c:ser>
        <c:axId val="2067042464"/>
        <c:axId val="966152886"/>
      </c:barChart>
      <c:catAx>
        <c:axId val="206704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Risk 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152886"/>
      </c:catAx>
      <c:valAx>
        <c:axId val="966152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042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438150</xdr:rowOff>
    </xdr:from>
    <xdr:ext cx="6715125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11</xdr:row>
      <xdr:rowOff>314325</xdr:rowOff>
    </xdr:from>
    <xdr:ext cx="6715125" cy="3067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8.38"/>
  </cols>
  <sheetData>
    <row r="1">
      <c r="A1" s="10" t="s">
        <v>356</v>
      </c>
      <c r="I1" s="11"/>
      <c r="J1" s="12" t="s">
        <v>357</v>
      </c>
      <c r="K1" s="12" t="s">
        <v>358</v>
      </c>
    </row>
    <row r="2">
      <c r="A2" s="13" t="s">
        <v>359</v>
      </c>
      <c r="B2" s="13" t="s">
        <v>360</v>
      </c>
      <c r="C2" s="13" t="s">
        <v>361</v>
      </c>
      <c r="D2" s="13" t="s">
        <v>276</v>
      </c>
      <c r="E2" s="13" t="s">
        <v>362</v>
      </c>
      <c r="F2" s="13" t="s">
        <v>10</v>
      </c>
      <c r="G2" s="13" t="s">
        <v>49</v>
      </c>
      <c r="H2" s="13" t="s">
        <v>22</v>
      </c>
      <c r="I2" s="13" t="s">
        <v>17</v>
      </c>
      <c r="J2" s="14" t="s">
        <v>157</v>
      </c>
      <c r="K2" s="15">
        <v>5.0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7" t="s">
        <v>363</v>
      </c>
      <c r="B3" s="17" t="s">
        <v>339</v>
      </c>
      <c r="C3" s="18">
        <v>0.54</v>
      </c>
      <c r="D3" s="19" t="s">
        <v>79</v>
      </c>
      <c r="E3" s="17" t="s">
        <v>364</v>
      </c>
      <c r="F3" s="17" t="s">
        <v>86</v>
      </c>
      <c r="G3" s="17" t="s">
        <v>365</v>
      </c>
      <c r="H3" s="20">
        <v>46142.0</v>
      </c>
      <c r="I3" s="17" t="s">
        <v>17</v>
      </c>
      <c r="J3" s="21" t="s">
        <v>366</v>
      </c>
      <c r="K3" s="22">
        <v>8.0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17" t="s">
        <v>363</v>
      </c>
      <c r="B4" s="17" t="s">
        <v>343</v>
      </c>
      <c r="C4" s="18">
        <v>0.48</v>
      </c>
      <c r="D4" s="19" t="s">
        <v>79</v>
      </c>
      <c r="E4" s="17" t="s">
        <v>364</v>
      </c>
      <c r="F4" s="17" t="s">
        <v>86</v>
      </c>
      <c r="G4" s="17" t="s">
        <v>367</v>
      </c>
      <c r="H4" s="20">
        <v>46157.0</v>
      </c>
      <c r="I4" s="17" t="s">
        <v>17</v>
      </c>
      <c r="J4" s="21" t="s">
        <v>65</v>
      </c>
      <c r="K4" s="22">
        <v>5.0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17" t="s">
        <v>363</v>
      </c>
      <c r="B5" s="17" t="s">
        <v>368</v>
      </c>
      <c r="C5" s="17">
        <v>5.0</v>
      </c>
      <c r="D5" s="19" t="s">
        <v>44</v>
      </c>
      <c r="E5" s="17" t="s">
        <v>369</v>
      </c>
      <c r="F5" s="17" t="s">
        <v>33</v>
      </c>
      <c r="G5" s="17" t="s">
        <v>370</v>
      </c>
      <c r="H5" s="20">
        <v>46127.0</v>
      </c>
      <c r="I5" s="17" t="s">
        <v>17</v>
      </c>
      <c r="J5" s="21"/>
      <c r="K5" s="24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17" t="s">
        <v>363</v>
      </c>
      <c r="B6" s="17" t="s">
        <v>371</v>
      </c>
      <c r="C6" s="17">
        <v>13.0</v>
      </c>
      <c r="D6" s="19" t="s">
        <v>79</v>
      </c>
      <c r="E6" s="17" t="s">
        <v>372</v>
      </c>
      <c r="F6" s="17" t="s">
        <v>33</v>
      </c>
      <c r="G6" s="17" t="s">
        <v>373</v>
      </c>
      <c r="H6" s="20">
        <v>46122.0</v>
      </c>
      <c r="I6" s="17" t="s">
        <v>17</v>
      </c>
      <c r="J6" s="14" t="s">
        <v>374</v>
      </c>
      <c r="K6" s="14" t="s">
        <v>375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17" t="s">
        <v>363</v>
      </c>
      <c r="B7" s="17" t="s">
        <v>376</v>
      </c>
      <c r="C7" s="17">
        <v>4.0</v>
      </c>
      <c r="D7" s="19" t="s">
        <v>79</v>
      </c>
      <c r="E7" s="17" t="s">
        <v>369</v>
      </c>
      <c r="F7" s="17" t="s">
        <v>86</v>
      </c>
      <c r="G7" s="17" t="s">
        <v>377</v>
      </c>
      <c r="H7" s="20">
        <v>46124.0</v>
      </c>
      <c r="I7" s="17" t="s">
        <v>17</v>
      </c>
      <c r="J7" s="14" t="s">
        <v>26</v>
      </c>
      <c r="K7" s="22">
        <v>5.0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17" t="s">
        <v>15</v>
      </c>
      <c r="B8" s="17" t="s">
        <v>378</v>
      </c>
      <c r="C8" s="17" t="s">
        <v>379</v>
      </c>
      <c r="D8" s="19" t="s">
        <v>44</v>
      </c>
      <c r="E8" s="17" t="s">
        <v>369</v>
      </c>
      <c r="F8" s="17" t="s">
        <v>42</v>
      </c>
      <c r="G8" s="17" t="s">
        <v>380</v>
      </c>
      <c r="H8" s="20">
        <v>46117.0</v>
      </c>
      <c r="I8" s="17" t="s">
        <v>17</v>
      </c>
      <c r="J8" s="21" t="s">
        <v>87</v>
      </c>
      <c r="K8" s="22">
        <v>13.0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17" t="s">
        <v>15</v>
      </c>
      <c r="B9" s="17" t="s">
        <v>381</v>
      </c>
      <c r="C9" s="17" t="s">
        <v>382</v>
      </c>
      <c r="D9" s="19" t="s">
        <v>298</v>
      </c>
      <c r="E9" s="17" t="s">
        <v>364</v>
      </c>
      <c r="F9" s="17" t="s">
        <v>383</v>
      </c>
      <c r="G9" s="17" t="s">
        <v>384</v>
      </c>
      <c r="H9" s="20">
        <v>46295.0</v>
      </c>
      <c r="I9" s="17" t="s">
        <v>17</v>
      </c>
      <c r="J9" s="14" t="s">
        <v>29</v>
      </c>
      <c r="K9" s="22">
        <v>0.0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17" t="s">
        <v>15</v>
      </c>
      <c r="B10" s="17" t="s">
        <v>385</v>
      </c>
      <c r="C10" s="18">
        <v>0.4</v>
      </c>
      <c r="D10" s="19" t="s">
        <v>79</v>
      </c>
      <c r="E10" s="17" t="s">
        <v>364</v>
      </c>
      <c r="F10" s="17" t="s">
        <v>86</v>
      </c>
      <c r="G10" s="17" t="s">
        <v>386</v>
      </c>
      <c r="H10" s="20">
        <v>46132.0</v>
      </c>
      <c r="I10" s="17" t="s">
        <v>17</v>
      </c>
      <c r="J10" s="14" t="s">
        <v>50</v>
      </c>
      <c r="K10" s="22">
        <v>0.0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17" t="s">
        <v>13</v>
      </c>
      <c r="B11" s="17" t="s">
        <v>387</v>
      </c>
      <c r="C11" s="17" t="s">
        <v>388</v>
      </c>
      <c r="D11" s="19" t="s">
        <v>79</v>
      </c>
      <c r="E11" s="17" t="s">
        <v>364</v>
      </c>
      <c r="F11" s="17" t="s">
        <v>42</v>
      </c>
      <c r="G11" s="17" t="s">
        <v>389</v>
      </c>
      <c r="H11" s="20">
        <v>46142.0</v>
      </c>
      <c r="I11" s="17" t="s">
        <v>17</v>
      </c>
      <c r="J11" s="23"/>
      <c r="K11" s="24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17" t="s">
        <v>13</v>
      </c>
      <c r="B12" s="17" t="s">
        <v>390</v>
      </c>
      <c r="C12" s="18">
        <v>0.41</v>
      </c>
      <c r="D12" s="19" t="s">
        <v>79</v>
      </c>
      <c r="E12" s="17" t="s">
        <v>364</v>
      </c>
      <c r="F12" s="17" t="s">
        <v>33</v>
      </c>
      <c r="G12" s="17" t="s">
        <v>391</v>
      </c>
      <c r="H12" s="20">
        <v>46142.0</v>
      </c>
      <c r="I12" s="17" t="s">
        <v>17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17" t="s">
        <v>392</v>
      </c>
      <c r="B13" s="17" t="s">
        <v>393</v>
      </c>
      <c r="C13" s="18">
        <v>0.61</v>
      </c>
      <c r="D13" s="19" t="s">
        <v>79</v>
      </c>
      <c r="E13" s="17" t="s">
        <v>364</v>
      </c>
      <c r="F13" s="17" t="s">
        <v>33</v>
      </c>
      <c r="G13" s="17" t="s">
        <v>394</v>
      </c>
      <c r="H13" s="20">
        <v>46172.0</v>
      </c>
      <c r="I13" s="17" t="s">
        <v>17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17" t="s">
        <v>395</v>
      </c>
      <c r="B14" s="17" t="s">
        <v>396</v>
      </c>
      <c r="C14" s="17" t="s">
        <v>397</v>
      </c>
      <c r="D14" s="19" t="s">
        <v>79</v>
      </c>
      <c r="E14" s="17" t="s">
        <v>364</v>
      </c>
      <c r="F14" s="17" t="s">
        <v>86</v>
      </c>
      <c r="G14" s="17" t="s">
        <v>398</v>
      </c>
      <c r="H14" s="20">
        <v>46152.0</v>
      </c>
      <c r="I14" s="17" t="s">
        <v>17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17" t="s">
        <v>152</v>
      </c>
      <c r="B15" s="17" t="s">
        <v>399</v>
      </c>
      <c r="C15" s="17" t="s">
        <v>382</v>
      </c>
      <c r="D15" s="19" t="s">
        <v>298</v>
      </c>
      <c r="E15" s="17" t="s">
        <v>364</v>
      </c>
      <c r="F15" s="17" t="s">
        <v>75</v>
      </c>
      <c r="G15" s="17" t="s">
        <v>400</v>
      </c>
      <c r="H15" s="20">
        <v>46142.0</v>
      </c>
      <c r="I15" s="17" t="s">
        <v>17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17" t="s">
        <v>152</v>
      </c>
      <c r="B16" s="17" t="s">
        <v>401</v>
      </c>
      <c r="C16" s="17">
        <v>5.0</v>
      </c>
      <c r="D16" s="19" t="s">
        <v>79</v>
      </c>
      <c r="E16" s="17" t="s">
        <v>369</v>
      </c>
      <c r="F16" s="17" t="s">
        <v>86</v>
      </c>
      <c r="G16" s="17" t="s">
        <v>402</v>
      </c>
      <c r="H16" s="20">
        <v>46127.0</v>
      </c>
      <c r="I16" s="17" t="s">
        <v>17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</sheetData>
  <mergeCells count="1">
    <mergeCell ref="A1:H1"/>
  </mergeCells>
  <conditionalFormatting sqref="A1:C1 D1:D16 E1:H1">
    <cfRule type="cellIs" dxfId="17" priority="1" operator="equal">
      <formula>"red"</formula>
    </cfRule>
  </conditionalFormatting>
  <conditionalFormatting sqref="A1:C1 D1:D16 E1:H1">
    <cfRule type="cellIs" dxfId="18" priority="2" operator="equal">
      <formula>"AMBER"</formula>
    </cfRule>
  </conditionalFormatting>
  <conditionalFormatting sqref="A1:C1 D1:D16 E1:H1">
    <cfRule type="cellIs" dxfId="19" priority="3" operator="equal">
      <formula>"GREEN"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10" max="10" width="16.13"/>
    <col customWidth="1" min="12" max="12" width="16.25"/>
  </cols>
  <sheetData>
    <row r="1">
      <c r="A1" s="1" t="s">
        <v>1</v>
      </c>
      <c r="B1" s="1" t="s">
        <v>6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8</v>
      </c>
      <c r="H1" s="1" t="s">
        <v>18</v>
      </c>
      <c r="I1" s="1" t="s">
        <v>10</v>
      </c>
      <c r="J1" s="1" t="s">
        <v>20</v>
      </c>
      <c r="K1" s="1" t="s">
        <v>22</v>
      </c>
      <c r="L1" s="1" t="s">
        <v>23</v>
      </c>
      <c r="M1" s="2" t="s">
        <v>17</v>
      </c>
    </row>
    <row r="2">
      <c r="A2" s="3" t="s">
        <v>27</v>
      </c>
      <c r="B2" s="3" t="s">
        <v>28</v>
      </c>
      <c r="C2" s="3" t="s">
        <v>32</v>
      </c>
      <c r="D2" s="3" t="s">
        <v>36</v>
      </c>
      <c r="E2" s="3" t="s">
        <v>37</v>
      </c>
      <c r="F2" s="3" t="s">
        <v>39</v>
      </c>
      <c r="G2" s="3" t="s">
        <v>40</v>
      </c>
      <c r="H2" s="3">
        <v>2.0</v>
      </c>
      <c r="I2" s="3" t="s">
        <v>42</v>
      </c>
      <c r="J2" s="3" t="s">
        <v>45</v>
      </c>
      <c r="K2" s="4">
        <v>46142.0</v>
      </c>
      <c r="L2" s="3" t="s">
        <v>48</v>
      </c>
      <c r="M2" s="2" t="s">
        <v>17</v>
      </c>
    </row>
    <row r="3">
      <c r="A3" s="3" t="s">
        <v>57</v>
      </c>
      <c r="B3" s="3" t="s">
        <v>28</v>
      </c>
      <c r="C3" s="3" t="s">
        <v>60</v>
      </c>
      <c r="D3" s="3" t="s">
        <v>36</v>
      </c>
      <c r="E3" s="3" t="s">
        <v>63</v>
      </c>
      <c r="F3" s="3" t="s">
        <v>64</v>
      </c>
      <c r="G3" s="3" t="s">
        <v>65</v>
      </c>
      <c r="H3" s="3">
        <v>1.0</v>
      </c>
      <c r="I3" s="3" t="s">
        <v>42</v>
      </c>
      <c r="J3" s="3" t="s">
        <v>67</v>
      </c>
      <c r="K3" s="4">
        <v>46117.0</v>
      </c>
      <c r="L3" s="3" t="s">
        <v>69</v>
      </c>
      <c r="M3" s="2" t="s">
        <v>17</v>
      </c>
    </row>
    <row r="4">
      <c r="A4" s="3" t="s">
        <v>71</v>
      </c>
      <c r="B4" s="3" t="s">
        <v>72</v>
      </c>
      <c r="C4" s="3" t="s">
        <v>74</v>
      </c>
      <c r="D4" s="3" t="s">
        <v>76</v>
      </c>
      <c r="E4" s="3" t="s">
        <v>78</v>
      </c>
      <c r="F4" s="3" t="s">
        <v>39</v>
      </c>
      <c r="G4" s="3" t="s">
        <v>40</v>
      </c>
      <c r="H4" s="3">
        <v>2.0</v>
      </c>
      <c r="I4" s="3" t="s">
        <v>33</v>
      </c>
      <c r="J4" s="3" t="s">
        <v>85</v>
      </c>
      <c r="K4" s="4">
        <v>46127.0</v>
      </c>
      <c r="L4" s="3" t="s">
        <v>89</v>
      </c>
      <c r="M4" s="2" t="s">
        <v>17</v>
      </c>
    </row>
    <row r="5">
      <c r="A5" s="3" t="s">
        <v>90</v>
      </c>
      <c r="B5" s="3" t="s">
        <v>92</v>
      </c>
      <c r="C5" s="3" t="s">
        <v>93</v>
      </c>
      <c r="D5" s="3" t="s">
        <v>98</v>
      </c>
      <c r="E5" s="3" t="s">
        <v>99</v>
      </c>
      <c r="F5" s="3" t="s">
        <v>39</v>
      </c>
      <c r="G5" s="3" t="s">
        <v>65</v>
      </c>
      <c r="H5" s="3">
        <v>1.0</v>
      </c>
      <c r="I5" s="3" t="s">
        <v>33</v>
      </c>
      <c r="J5" s="3" t="s">
        <v>105</v>
      </c>
      <c r="K5" s="4">
        <v>46132.0</v>
      </c>
      <c r="L5" s="3" t="s">
        <v>107</v>
      </c>
      <c r="M5" s="2" t="s">
        <v>17</v>
      </c>
    </row>
    <row r="6">
      <c r="A6" s="3" t="s">
        <v>111</v>
      </c>
      <c r="B6" s="3" t="s">
        <v>113</v>
      </c>
      <c r="C6" s="3" t="s">
        <v>115</v>
      </c>
      <c r="D6" s="3" t="s">
        <v>76</v>
      </c>
      <c r="E6" s="3" t="s">
        <v>118</v>
      </c>
      <c r="F6" s="3" t="s">
        <v>39</v>
      </c>
      <c r="G6" s="3" t="s">
        <v>40</v>
      </c>
      <c r="H6" s="3">
        <v>3.0</v>
      </c>
      <c r="I6" s="3" t="s">
        <v>33</v>
      </c>
      <c r="J6" s="3" t="s">
        <v>123</v>
      </c>
      <c r="K6" s="4">
        <v>46157.0</v>
      </c>
      <c r="L6" s="3" t="s">
        <v>124</v>
      </c>
      <c r="M6" s="2" t="s">
        <v>17</v>
      </c>
    </row>
    <row r="7">
      <c r="A7" s="3" t="s">
        <v>127</v>
      </c>
      <c r="B7" s="3" t="s">
        <v>130</v>
      </c>
      <c r="C7" s="3" t="s">
        <v>132</v>
      </c>
      <c r="D7" s="3" t="s">
        <v>133</v>
      </c>
      <c r="E7" s="3" t="s">
        <v>135</v>
      </c>
      <c r="F7" s="3" t="s">
        <v>39</v>
      </c>
      <c r="G7" s="3" t="s">
        <v>40</v>
      </c>
      <c r="H7" s="3">
        <v>2.0</v>
      </c>
      <c r="I7" s="3" t="s">
        <v>33</v>
      </c>
      <c r="J7" s="3" t="s">
        <v>137</v>
      </c>
      <c r="K7" s="4">
        <v>46172.0</v>
      </c>
      <c r="L7" s="3" t="s">
        <v>138</v>
      </c>
      <c r="M7" s="2" t="s">
        <v>17</v>
      </c>
    </row>
    <row r="8">
      <c r="A8" s="3" t="s">
        <v>141</v>
      </c>
      <c r="B8" s="3" t="s">
        <v>142</v>
      </c>
      <c r="C8" s="3" t="s">
        <v>144</v>
      </c>
      <c r="D8" s="3" t="s">
        <v>36</v>
      </c>
      <c r="E8" s="3" t="s">
        <v>145</v>
      </c>
      <c r="F8" s="3" t="s">
        <v>39</v>
      </c>
      <c r="G8" s="3" t="s">
        <v>65</v>
      </c>
      <c r="H8" s="3">
        <v>1.0</v>
      </c>
      <c r="I8" s="3" t="s">
        <v>148</v>
      </c>
      <c r="J8" s="3" t="s">
        <v>149</v>
      </c>
      <c r="K8" s="4">
        <v>46173.0</v>
      </c>
      <c r="L8" s="3" t="s">
        <v>150</v>
      </c>
      <c r="M8" s="2" t="s">
        <v>17</v>
      </c>
    </row>
    <row r="9">
      <c r="A9" s="3" t="s">
        <v>151</v>
      </c>
      <c r="B9" s="3" t="s">
        <v>152</v>
      </c>
      <c r="C9" s="3" t="s">
        <v>153</v>
      </c>
      <c r="D9" s="3" t="s">
        <v>154</v>
      </c>
      <c r="E9" s="3" t="s">
        <v>155</v>
      </c>
      <c r="F9" s="3" t="s">
        <v>156</v>
      </c>
      <c r="G9" s="3" t="s">
        <v>157</v>
      </c>
      <c r="H9" s="3">
        <v>4.0</v>
      </c>
      <c r="I9" s="3" t="s">
        <v>75</v>
      </c>
      <c r="J9" s="3" t="s">
        <v>158</v>
      </c>
      <c r="K9" s="4">
        <v>46295.0</v>
      </c>
      <c r="L9" s="3" t="s">
        <v>159</v>
      </c>
      <c r="M9" s="2" t="s">
        <v>17</v>
      </c>
    </row>
    <row r="10">
      <c r="A10" s="3" t="s">
        <v>160</v>
      </c>
      <c r="B10" s="3" t="s">
        <v>25</v>
      </c>
      <c r="C10" s="3" t="s">
        <v>161</v>
      </c>
      <c r="D10" s="3" t="s">
        <v>162</v>
      </c>
      <c r="E10" s="3" t="s">
        <v>163</v>
      </c>
      <c r="F10" s="3" t="s">
        <v>164</v>
      </c>
      <c r="G10" s="3" t="s">
        <v>40</v>
      </c>
      <c r="H10" s="3">
        <v>3.0</v>
      </c>
      <c r="I10" s="3" t="s">
        <v>86</v>
      </c>
      <c r="J10" s="3" t="s">
        <v>165</v>
      </c>
      <c r="K10" s="4">
        <v>46152.0</v>
      </c>
      <c r="L10" s="3" t="s">
        <v>166</v>
      </c>
      <c r="M10" s="2" t="s">
        <v>17</v>
      </c>
    </row>
    <row r="11">
      <c r="A11" s="3" t="s">
        <v>167</v>
      </c>
      <c r="B11" s="3" t="s">
        <v>168</v>
      </c>
      <c r="C11" s="3" t="s">
        <v>169</v>
      </c>
      <c r="D11" s="3" t="s">
        <v>170</v>
      </c>
      <c r="E11" s="3" t="s">
        <v>171</v>
      </c>
      <c r="F11" s="3" t="s">
        <v>39</v>
      </c>
      <c r="G11" s="3" t="s">
        <v>157</v>
      </c>
      <c r="H11" s="3">
        <v>4.0</v>
      </c>
      <c r="I11" s="3" t="s">
        <v>33</v>
      </c>
      <c r="J11" s="3" t="s">
        <v>172</v>
      </c>
      <c r="K11" s="4">
        <v>46112.0</v>
      </c>
      <c r="L11" s="3" t="s">
        <v>173</v>
      </c>
      <c r="M11" s="2" t="s">
        <v>17</v>
      </c>
    </row>
    <row r="12">
      <c r="A12" s="3" t="s">
        <v>174</v>
      </c>
      <c r="B12" s="3" t="s">
        <v>168</v>
      </c>
      <c r="C12" s="3" t="s">
        <v>175</v>
      </c>
      <c r="D12" s="3" t="s">
        <v>170</v>
      </c>
      <c r="E12" s="3" t="s">
        <v>99</v>
      </c>
      <c r="F12" s="3" t="s">
        <v>39</v>
      </c>
      <c r="G12" s="3" t="s">
        <v>157</v>
      </c>
      <c r="H12" s="3">
        <v>4.0</v>
      </c>
      <c r="I12" s="3" t="s">
        <v>33</v>
      </c>
      <c r="J12" s="3" t="s">
        <v>176</v>
      </c>
      <c r="K12" s="4">
        <v>46112.0</v>
      </c>
      <c r="L12" s="3" t="s">
        <v>173</v>
      </c>
      <c r="M12" s="2" t="s">
        <v>17</v>
      </c>
    </row>
    <row r="13">
      <c r="A13" s="3" t="s">
        <v>177</v>
      </c>
      <c r="B13" s="3" t="s">
        <v>178</v>
      </c>
      <c r="C13" s="3" t="s">
        <v>179</v>
      </c>
      <c r="D13" s="3" t="s">
        <v>180</v>
      </c>
      <c r="E13" s="3" t="s">
        <v>181</v>
      </c>
      <c r="F13" s="3" t="s">
        <v>39</v>
      </c>
      <c r="G13" s="3" t="s">
        <v>65</v>
      </c>
      <c r="H13" s="3">
        <v>1.0</v>
      </c>
      <c r="I13" s="3" t="s">
        <v>33</v>
      </c>
      <c r="J13" s="3" t="s">
        <v>182</v>
      </c>
      <c r="K13" s="4">
        <v>46203.0</v>
      </c>
      <c r="L13" s="3" t="s">
        <v>183</v>
      </c>
      <c r="M13" s="2" t="s">
        <v>17</v>
      </c>
    </row>
    <row r="14">
      <c r="A14" s="3" t="s">
        <v>184</v>
      </c>
      <c r="B14" s="3" t="s">
        <v>185</v>
      </c>
      <c r="C14" s="3" t="s">
        <v>186</v>
      </c>
      <c r="D14" s="3" t="s">
        <v>170</v>
      </c>
      <c r="E14" s="3" t="s">
        <v>187</v>
      </c>
      <c r="F14" s="3" t="s">
        <v>39</v>
      </c>
      <c r="G14" s="3" t="s">
        <v>157</v>
      </c>
      <c r="H14" s="3">
        <v>4.0</v>
      </c>
      <c r="I14" s="3" t="s">
        <v>33</v>
      </c>
      <c r="J14" s="3" t="s">
        <v>188</v>
      </c>
      <c r="K14" s="4">
        <v>46112.0</v>
      </c>
      <c r="L14" s="3" t="s">
        <v>173</v>
      </c>
      <c r="M14" s="2" t="s">
        <v>17</v>
      </c>
    </row>
    <row r="15">
      <c r="A15" s="3" t="s">
        <v>189</v>
      </c>
      <c r="B15" s="3" t="s">
        <v>190</v>
      </c>
      <c r="C15" s="3" t="s">
        <v>191</v>
      </c>
      <c r="D15" s="3" t="s">
        <v>154</v>
      </c>
      <c r="E15" s="3" t="s">
        <v>192</v>
      </c>
      <c r="F15" s="3" t="s">
        <v>156</v>
      </c>
      <c r="G15" s="3" t="s">
        <v>157</v>
      </c>
      <c r="H15" s="3">
        <v>4.0</v>
      </c>
      <c r="I15" s="3" t="s">
        <v>193</v>
      </c>
      <c r="J15" s="3" t="s">
        <v>194</v>
      </c>
      <c r="K15" s="4">
        <v>46112.0</v>
      </c>
      <c r="L15" s="3" t="s">
        <v>195</v>
      </c>
      <c r="M15" s="2" t="s">
        <v>17</v>
      </c>
    </row>
    <row r="16">
      <c r="A16" s="3" t="s">
        <v>196</v>
      </c>
      <c r="B16" s="3" t="s">
        <v>190</v>
      </c>
      <c r="C16" s="3" t="s">
        <v>197</v>
      </c>
      <c r="D16" s="3" t="s">
        <v>162</v>
      </c>
      <c r="E16" s="3" t="s">
        <v>198</v>
      </c>
      <c r="F16" s="3" t="s">
        <v>164</v>
      </c>
      <c r="G16" s="3" t="s">
        <v>40</v>
      </c>
      <c r="H16" s="3">
        <v>2.0</v>
      </c>
      <c r="I16" s="3" t="s">
        <v>86</v>
      </c>
      <c r="J16" s="3" t="s">
        <v>199</v>
      </c>
      <c r="K16" s="4">
        <v>46132.0</v>
      </c>
      <c r="L16" s="3" t="s">
        <v>200</v>
      </c>
      <c r="M16" s="2" t="s">
        <v>17</v>
      </c>
    </row>
  </sheetData>
  <conditionalFormatting sqref="G6:G16">
    <cfRule type="cellIs" dxfId="0" priority="1" operator="equal">
      <formula>"Implemented"</formula>
    </cfRule>
  </conditionalFormatting>
  <conditionalFormatting sqref="G6:G16">
    <cfRule type="cellIs" dxfId="10" priority="2" operator="equal">
      <formula>"Partial"</formula>
    </cfRule>
  </conditionalFormatting>
  <conditionalFormatting sqref="G6:G16">
    <cfRule type="cellIs" dxfId="1" priority="3" operator="equal">
      <formula>"Missing"</formula>
    </cfRule>
  </conditionalFormatting>
  <conditionalFormatting sqref="H6:H16">
    <cfRule type="cellIs" dxfId="1" priority="4" operator="equal">
      <formula>1</formula>
    </cfRule>
  </conditionalFormatting>
  <conditionalFormatting sqref="H6:H16">
    <cfRule type="cellIs" dxfId="4" priority="5" operator="equal">
      <formula>2</formula>
    </cfRule>
  </conditionalFormatting>
  <conditionalFormatting sqref="H6:H16">
    <cfRule type="cellIs" dxfId="0" priority="6" operator="equal">
      <formula>4</formula>
    </cfRule>
  </conditionalFormatting>
  <conditionalFormatting sqref="H6:H16">
    <cfRule type="cellIs" dxfId="4" priority="7" operator="equal">
      <formula>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9" max="9" width="16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2" t="s">
        <v>17</v>
      </c>
    </row>
    <row r="2">
      <c r="A2" s="3" t="s">
        <v>21</v>
      </c>
      <c r="B2" s="3" t="s">
        <v>24</v>
      </c>
      <c r="C2" s="3">
        <v>25.0</v>
      </c>
      <c r="D2" s="3" t="s">
        <v>26</v>
      </c>
      <c r="E2" s="3">
        <v>8.0</v>
      </c>
      <c r="F2" s="3" t="s">
        <v>29</v>
      </c>
      <c r="G2" s="3" t="s">
        <v>31</v>
      </c>
      <c r="H2" s="3" t="s">
        <v>33</v>
      </c>
      <c r="I2" s="3" t="s">
        <v>35</v>
      </c>
      <c r="J2" s="4">
        <v>46142.0</v>
      </c>
      <c r="K2" s="3" t="s">
        <v>44</v>
      </c>
      <c r="L2" s="2" t="s">
        <v>17</v>
      </c>
    </row>
    <row r="3">
      <c r="A3" s="3" t="s">
        <v>46</v>
      </c>
      <c r="B3" s="3" t="s">
        <v>47</v>
      </c>
      <c r="C3" s="3">
        <v>20.0</v>
      </c>
      <c r="D3" s="3" t="s">
        <v>26</v>
      </c>
      <c r="E3" s="3">
        <v>4.0</v>
      </c>
      <c r="F3" s="3" t="s">
        <v>50</v>
      </c>
      <c r="G3" s="3" t="s">
        <v>31</v>
      </c>
      <c r="H3" s="3" t="s">
        <v>33</v>
      </c>
      <c r="I3" s="3" t="s">
        <v>51</v>
      </c>
      <c r="J3" s="4">
        <v>46132.0</v>
      </c>
      <c r="K3" s="3" t="s">
        <v>44</v>
      </c>
      <c r="L3" s="2" t="s">
        <v>17</v>
      </c>
    </row>
    <row r="4">
      <c r="A4" s="3" t="s">
        <v>52</v>
      </c>
      <c r="B4" s="3" t="s">
        <v>53</v>
      </c>
      <c r="C4" s="3">
        <v>20.0</v>
      </c>
      <c r="D4" s="3" t="s">
        <v>26</v>
      </c>
      <c r="E4" s="3">
        <v>6.0</v>
      </c>
      <c r="F4" s="3" t="s">
        <v>29</v>
      </c>
      <c r="G4" s="3" t="s">
        <v>31</v>
      </c>
      <c r="H4" s="3" t="s">
        <v>33</v>
      </c>
      <c r="I4" s="3" t="s">
        <v>59</v>
      </c>
      <c r="J4" s="4">
        <v>46127.0</v>
      </c>
      <c r="K4" s="3" t="s">
        <v>44</v>
      </c>
      <c r="L4" s="2" t="s">
        <v>17</v>
      </c>
    </row>
    <row r="5">
      <c r="A5" s="3" t="s">
        <v>61</v>
      </c>
      <c r="B5" s="3" t="s">
        <v>62</v>
      </c>
      <c r="C5" s="3">
        <v>20.0</v>
      </c>
      <c r="D5" s="3" t="s">
        <v>26</v>
      </c>
      <c r="E5" s="3">
        <v>3.0</v>
      </c>
      <c r="F5" s="3" t="s">
        <v>50</v>
      </c>
      <c r="G5" s="3" t="s">
        <v>31</v>
      </c>
      <c r="H5" s="3" t="s">
        <v>42</v>
      </c>
      <c r="I5" s="3" t="s">
        <v>66</v>
      </c>
      <c r="J5" s="4">
        <v>46117.0</v>
      </c>
      <c r="K5" s="3" t="s">
        <v>44</v>
      </c>
      <c r="L5" s="2" t="s">
        <v>17</v>
      </c>
    </row>
    <row r="6">
      <c r="A6" s="3" t="s">
        <v>68</v>
      </c>
      <c r="B6" s="3" t="s">
        <v>70</v>
      </c>
      <c r="C6" s="3">
        <v>20.0</v>
      </c>
      <c r="D6" s="3" t="s">
        <v>26</v>
      </c>
      <c r="E6" s="3">
        <v>6.0</v>
      </c>
      <c r="F6" s="3" t="s">
        <v>29</v>
      </c>
      <c r="G6" s="3" t="s">
        <v>73</v>
      </c>
      <c r="H6" s="3" t="s">
        <v>75</v>
      </c>
      <c r="I6" s="3" t="s">
        <v>77</v>
      </c>
      <c r="J6" s="4">
        <v>46142.0</v>
      </c>
      <c r="K6" s="3" t="s">
        <v>79</v>
      </c>
      <c r="L6" s="2" t="s">
        <v>17</v>
      </c>
    </row>
    <row r="7">
      <c r="A7" s="3" t="s">
        <v>82</v>
      </c>
      <c r="B7" s="3" t="s">
        <v>84</v>
      </c>
      <c r="C7" s="3">
        <v>15.0</v>
      </c>
      <c r="D7" s="3" t="s">
        <v>87</v>
      </c>
      <c r="E7" s="3">
        <v>8.0</v>
      </c>
      <c r="F7" s="3" t="s">
        <v>29</v>
      </c>
      <c r="G7" s="3" t="s">
        <v>73</v>
      </c>
      <c r="H7" s="3" t="s">
        <v>86</v>
      </c>
      <c r="I7" s="3" t="s">
        <v>91</v>
      </c>
      <c r="J7" s="4">
        <v>46132.0</v>
      </c>
      <c r="K7" s="3" t="s">
        <v>79</v>
      </c>
      <c r="L7" s="2" t="s">
        <v>17</v>
      </c>
    </row>
    <row r="8">
      <c r="A8" s="3" t="s">
        <v>95</v>
      </c>
      <c r="B8" s="3" t="s">
        <v>97</v>
      </c>
      <c r="C8" s="3">
        <v>15.0</v>
      </c>
      <c r="D8" s="3" t="s">
        <v>87</v>
      </c>
      <c r="E8" s="3">
        <v>5.0</v>
      </c>
      <c r="F8" s="3" t="s">
        <v>50</v>
      </c>
      <c r="G8" s="3" t="s">
        <v>31</v>
      </c>
      <c r="H8" s="3" t="s">
        <v>33</v>
      </c>
      <c r="I8" s="3" t="s">
        <v>103</v>
      </c>
      <c r="J8" s="4">
        <v>46172.0</v>
      </c>
      <c r="K8" s="3" t="s">
        <v>79</v>
      </c>
      <c r="L8" s="2" t="s">
        <v>17</v>
      </c>
    </row>
    <row r="9">
      <c r="A9" s="3" t="s">
        <v>108</v>
      </c>
      <c r="B9" s="3" t="s">
        <v>109</v>
      </c>
      <c r="C9" s="3">
        <v>15.0</v>
      </c>
      <c r="D9" s="3" t="s">
        <v>87</v>
      </c>
      <c r="E9" s="3">
        <v>4.0</v>
      </c>
      <c r="F9" s="3" t="s">
        <v>50</v>
      </c>
      <c r="G9" s="3" t="s">
        <v>31</v>
      </c>
      <c r="H9" s="3" t="s">
        <v>33</v>
      </c>
      <c r="I9" s="3" t="s">
        <v>117</v>
      </c>
      <c r="J9" s="4">
        <v>46172.0</v>
      </c>
      <c r="K9" s="3" t="s">
        <v>79</v>
      </c>
      <c r="L9" s="2" t="s">
        <v>17</v>
      </c>
    </row>
    <row r="10">
      <c r="A10" s="3" t="s">
        <v>120</v>
      </c>
      <c r="B10" s="3" t="s">
        <v>122</v>
      </c>
      <c r="C10" s="3">
        <v>12.0</v>
      </c>
      <c r="D10" s="3" t="s">
        <v>87</v>
      </c>
      <c r="E10" s="3">
        <v>4.0</v>
      </c>
      <c r="F10" s="3" t="s">
        <v>50</v>
      </c>
      <c r="G10" s="3" t="s">
        <v>31</v>
      </c>
      <c r="H10" s="3" t="s">
        <v>126</v>
      </c>
      <c r="I10" s="3" t="s">
        <v>129</v>
      </c>
      <c r="J10" s="4">
        <v>46142.0</v>
      </c>
      <c r="K10" s="3" t="s">
        <v>79</v>
      </c>
      <c r="L10" s="2" t="s">
        <v>17</v>
      </c>
    </row>
  </sheetData>
  <conditionalFormatting sqref="D2:D10">
    <cfRule type="cellIs" dxfId="5" priority="1" operator="equal">
      <formula>"CRITICAL"</formula>
    </cfRule>
  </conditionalFormatting>
  <conditionalFormatting sqref="D2:D10">
    <cfRule type="cellIs" dxfId="7" priority="2" operator="equal">
      <formula>"HIGH"</formula>
    </cfRule>
  </conditionalFormatting>
  <conditionalFormatting sqref="K2:K10">
    <cfRule type="cellIs" dxfId="8" priority="3" operator="equal">
      <formula>"RED"</formula>
    </cfRule>
  </conditionalFormatting>
  <conditionalFormatting sqref="K2:K10">
    <cfRule type="cellIs" dxfId="9" priority="4" operator="equal">
      <formula>"AMBER"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10" max="10" width="19.25"/>
    <col customWidth="1" min="11" max="11" width="15.63"/>
  </cols>
  <sheetData>
    <row r="1">
      <c r="A1" s="1" t="s">
        <v>19</v>
      </c>
      <c r="B1" s="1" t="s">
        <v>25</v>
      </c>
      <c r="C1" s="1" t="s">
        <v>30</v>
      </c>
      <c r="D1" s="1" t="s">
        <v>34</v>
      </c>
      <c r="E1" s="1" t="s">
        <v>38</v>
      </c>
      <c r="F1" s="1" t="s">
        <v>41</v>
      </c>
      <c r="G1" s="1" t="s">
        <v>43</v>
      </c>
      <c r="H1" s="1" t="s">
        <v>8</v>
      </c>
      <c r="I1" s="1" t="s">
        <v>10</v>
      </c>
      <c r="J1" s="1" t="s">
        <v>49</v>
      </c>
      <c r="K1" s="1" t="s">
        <v>22</v>
      </c>
      <c r="L1" s="2" t="s">
        <v>17</v>
      </c>
    </row>
    <row r="2">
      <c r="A2" s="3" t="s">
        <v>54</v>
      </c>
      <c r="B2" s="3" t="s">
        <v>55</v>
      </c>
      <c r="C2" s="3" t="s">
        <v>56</v>
      </c>
      <c r="D2" s="3" t="s">
        <v>58</v>
      </c>
      <c r="E2" s="5">
        <v>0.68</v>
      </c>
      <c r="F2" s="3" t="s">
        <v>80</v>
      </c>
      <c r="G2" s="3" t="s">
        <v>81</v>
      </c>
      <c r="H2" s="3" t="s">
        <v>83</v>
      </c>
      <c r="I2" s="3" t="s">
        <v>86</v>
      </c>
      <c r="J2" s="3" t="s">
        <v>88</v>
      </c>
      <c r="K2" s="4">
        <v>46132.0</v>
      </c>
      <c r="L2" s="2" t="s">
        <v>17</v>
      </c>
    </row>
    <row r="3">
      <c r="A3" s="3" t="s">
        <v>94</v>
      </c>
      <c r="B3" s="3" t="s">
        <v>96</v>
      </c>
      <c r="C3" s="3" t="s">
        <v>56</v>
      </c>
      <c r="D3" s="3" t="s">
        <v>100</v>
      </c>
      <c r="E3" s="5">
        <v>0.92</v>
      </c>
      <c r="F3" s="3" t="s">
        <v>101</v>
      </c>
      <c r="G3" s="3" t="s">
        <v>102</v>
      </c>
      <c r="H3" s="3" t="s">
        <v>104</v>
      </c>
      <c r="I3" s="3" t="s">
        <v>33</v>
      </c>
      <c r="J3" s="3" t="s">
        <v>106</v>
      </c>
      <c r="K3" s="4">
        <v>46402.0</v>
      </c>
      <c r="L3" s="2" t="s">
        <v>17</v>
      </c>
    </row>
    <row r="4">
      <c r="A4" s="3" t="s">
        <v>110</v>
      </c>
      <c r="B4" s="3" t="s">
        <v>112</v>
      </c>
      <c r="C4" s="3" t="s">
        <v>114</v>
      </c>
      <c r="D4" s="3" t="s">
        <v>116</v>
      </c>
      <c r="E4" s="3" t="s">
        <v>119</v>
      </c>
      <c r="F4" s="3" t="s">
        <v>101</v>
      </c>
      <c r="G4" s="3" t="s">
        <v>81</v>
      </c>
      <c r="H4" s="3" t="s">
        <v>121</v>
      </c>
      <c r="I4" s="3" t="s">
        <v>86</v>
      </c>
      <c r="J4" s="3" t="s">
        <v>125</v>
      </c>
      <c r="K4" s="4">
        <v>46152.0</v>
      </c>
      <c r="L4" s="2" t="s">
        <v>17</v>
      </c>
    </row>
    <row r="5">
      <c r="A5" s="3" t="s">
        <v>128</v>
      </c>
      <c r="B5" s="3" t="s">
        <v>131</v>
      </c>
      <c r="C5" s="3" t="s">
        <v>114</v>
      </c>
      <c r="D5" s="3" t="s">
        <v>134</v>
      </c>
      <c r="E5" s="5">
        <v>0.84</v>
      </c>
      <c r="F5" s="3" t="s">
        <v>101</v>
      </c>
      <c r="G5" s="3" t="s">
        <v>102</v>
      </c>
      <c r="H5" s="3" t="s">
        <v>104</v>
      </c>
      <c r="I5" s="3" t="s">
        <v>33</v>
      </c>
      <c r="J5" s="3" t="s">
        <v>136</v>
      </c>
      <c r="K5" s="4">
        <v>46336.0</v>
      </c>
      <c r="L5" s="2" t="s">
        <v>17</v>
      </c>
    </row>
    <row r="6">
      <c r="A6" s="3" t="s">
        <v>139</v>
      </c>
      <c r="B6" s="3" t="s">
        <v>140</v>
      </c>
      <c r="C6" s="3" t="s">
        <v>114</v>
      </c>
      <c r="D6" s="3" t="s">
        <v>143</v>
      </c>
      <c r="E6" s="5">
        <v>0.88</v>
      </c>
      <c r="F6" s="3" t="s">
        <v>101</v>
      </c>
      <c r="G6" s="3" t="s">
        <v>102</v>
      </c>
      <c r="H6" s="3" t="s">
        <v>104</v>
      </c>
      <c r="I6" s="3" t="s">
        <v>146</v>
      </c>
      <c r="J6" s="3" t="s">
        <v>147</v>
      </c>
      <c r="K6" s="4">
        <v>46300.0</v>
      </c>
      <c r="L6" s="2" t="s">
        <v>17</v>
      </c>
    </row>
  </sheetData>
  <conditionalFormatting sqref="F2:F6">
    <cfRule type="cellIs" dxfId="0" priority="1" operator="equal">
      <formula>"Yes"</formula>
    </cfRule>
  </conditionalFormatting>
  <conditionalFormatting sqref="F2">
    <cfRule type="notContainsBlanks" dxfId="1" priority="2">
      <formula>LEN(TRIM(F2))&gt;0</formula>
    </cfRule>
  </conditionalFormatting>
  <conditionalFormatting sqref="G2:G6">
    <cfRule type="cellIs" dxfId="2" priority="3" operator="equal">
      <formula>"Low"</formula>
    </cfRule>
  </conditionalFormatting>
  <conditionalFormatting sqref="G2:G6">
    <cfRule type="notContainsBlanks" dxfId="3" priority="4">
      <formula>LEN(TRIM(G2))&gt;0</formula>
    </cfRule>
  </conditionalFormatting>
  <conditionalFormatting sqref="H2:H6">
    <cfRule type="cellIs" dxfId="0" priority="5" operator="equal">
      <formula>"Approved"</formula>
    </cfRule>
  </conditionalFormatting>
  <conditionalFormatting sqref="H2:H6">
    <cfRule type="cellIs" dxfId="4" priority="6" operator="equal">
      <formula>"Conditional"</formula>
    </cfRule>
  </conditionalFormatting>
  <conditionalFormatting sqref="H2:H6">
    <cfRule type="cellIs" dxfId="6" priority="7" operator="equal">
      <formula>"In review"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3" max="3" width="18.75"/>
  </cols>
  <sheetData>
    <row r="1">
      <c r="A1" s="6" t="s">
        <v>217</v>
      </c>
      <c r="B1" s="6" t="s">
        <v>221</v>
      </c>
      <c r="C1" s="6" t="s">
        <v>223</v>
      </c>
      <c r="D1" s="6" t="s">
        <v>225</v>
      </c>
      <c r="E1" s="6" t="s">
        <v>226</v>
      </c>
      <c r="F1" s="6" t="s">
        <v>8</v>
      </c>
      <c r="G1" s="6" t="s">
        <v>10</v>
      </c>
      <c r="H1" s="6" t="s">
        <v>230</v>
      </c>
      <c r="I1" s="6" t="s">
        <v>231</v>
      </c>
      <c r="J1" s="6" t="s">
        <v>232</v>
      </c>
      <c r="K1" s="6" t="s">
        <v>234</v>
      </c>
      <c r="L1" s="2" t="s">
        <v>17</v>
      </c>
    </row>
    <row r="2">
      <c r="A2" s="3" t="s">
        <v>237</v>
      </c>
      <c r="B2" s="3" t="s">
        <v>239</v>
      </c>
      <c r="C2" s="3" t="s">
        <v>240</v>
      </c>
      <c r="D2" s="3" t="s">
        <v>242</v>
      </c>
      <c r="E2" s="3" t="s">
        <v>107</v>
      </c>
      <c r="F2" s="3" t="s">
        <v>243</v>
      </c>
      <c r="G2" s="3" t="s">
        <v>33</v>
      </c>
      <c r="H2" s="4">
        <v>46091.0</v>
      </c>
      <c r="I2" s="4">
        <v>46101.0</v>
      </c>
      <c r="J2" s="3" t="s">
        <v>52</v>
      </c>
      <c r="K2" s="3" t="s">
        <v>247</v>
      </c>
      <c r="L2" s="2" t="s">
        <v>17</v>
      </c>
    </row>
    <row r="3">
      <c r="A3" s="3" t="s">
        <v>250</v>
      </c>
      <c r="B3" s="3" t="s">
        <v>252</v>
      </c>
      <c r="C3" s="3" t="s">
        <v>253</v>
      </c>
      <c r="D3" s="3" t="s">
        <v>242</v>
      </c>
      <c r="E3" s="3" t="s">
        <v>107</v>
      </c>
      <c r="F3" s="3" t="s">
        <v>31</v>
      </c>
      <c r="G3" s="3" t="s">
        <v>33</v>
      </c>
      <c r="H3" s="4">
        <v>46093.0</v>
      </c>
      <c r="I3" s="4">
        <v>46127.0</v>
      </c>
      <c r="J3" s="3" t="s">
        <v>52</v>
      </c>
      <c r="K3" s="3" t="s">
        <v>258</v>
      </c>
      <c r="L3" s="2" t="s">
        <v>17</v>
      </c>
    </row>
    <row r="4">
      <c r="A4" s="3" t="s">
        <v>260</v>
      </c>
      <c r="B4" s="3" t="s">
        <v>252</v>
      </c>
      <c r="C4" s="3" t="s">
        <v>263</v>
      </c>
      <c r="D4" s="3" t="s">
        <v>242</v>
      </c>
      <c r="E4" s="3" t="s">
        <v>265</v>
      </c>
      <c r="F4" s="3" t="s">
        <v>31</v>
      </c>
      <c r="G4" s="3" t="s">
        <v>86</v>
      </c>
      <c r="H4" s="4">
        <v>46093.0</v>
      </c>
      <c r="I4" s="4">
        <v>46122.0</v>
      </c>
      <c r="J4" s="3" t="s">
        <v>68</v>
      </c>
      <c r="K4" s="3" t="s">
        <v>266</v>
      </c>
      <c r="L4" s="2" t="s">
        <v>17</v>
      </c>
    </row>
    <row r="5">
      <c r="A5" s="3" t="s">
        <v>267</v>
      </c>
      <c r="B5" s="3" t="s">
        <v>252</v>
      </c>
      <c r="C5" s="3" t="s">
        <v>268</v>
      </c>
      <c r="D5" s="3" t="s">
        <v>242</v>
      </c>
      <c r="E5" s="3" t="s">
        <v>265</v>
      </c>
      <c r="F5" s="3" t="s">
        <v>31</v>
      </c>
      <c r="G5" s="3" t="s">
        <v>193</v>
      </c>
      <c r="H5" s="4">
        <v>46093.0</v>
      </c>
      <c r="I5" s="4">
        <v>46122.0</v>
      </c>
      <c r="J5" s="3" t="s">
        <v>68</v>
      </c>
      <c r="K5" s="3" t="s">
        <v>269</v>
      </c>
      <c r="L5" s="2" t="s">
        <v>17</v>
      </c>
    </row>
    <row r="6">
      <c r="A6" s="3" t="s">
        <v>270</v>
      </c>
      <c r="B6" s="3" t="s">
        <v>252</v>
      </c>
      <c r="C6" s="3" t="s">
        <v>272</v>
      </c>
      <c r="D6" s="3" t="s">
        <v>242</v>
      </c>
      <c r="E6" s="3" t="s">
        <v>81</v>
      </c>
      <c r="F6" s="3" t="s">
        <v>31</v>
      </c>
      <c r="G6" s="3" t="s">
        <v>86</v>
      </c>
      <c r="H6" s="4">
        <v>46093.0</v>
      </c>
      <c r="I6" s="4">
        <v>46142.0</v>
      </c>
      <c r="J6" s="3" t="s">
        <v>68</v>
      </c>
      <c r="K6" s="3" t="s">
        <v>150</v>
      </c>
      <c r="L6" s="2" t="s">
        <v>17</v>
      </c>
    </row>
    <row r="7">
      <c r="A7" s="3" t="s">
        <v>277</v>
      </c>
      <c r="B7" s="3" t="s">
        <v>252</v>
      </c>
      <c r="C7" s="3" t="s">
        <v>278</v>
      </c>
      <c r="D7" s="3" t="s">
        <v>242</v>
      </c>
      <c r="E7" s="3" t="s">
        <v>265</v>
      </c>
      <c r="F7" s="3" t="s">
        <v>31</v>
      </c>
      <c r="G7" s="3" t="s">
        <v>33</v>
      </c>
      <c r="H7" s="4">
        <v>46093.0</v>
      </c>
      <c r="I7" s="4">
        <v>46157.0</v>
      </c>
      <c r="J7" s="3" t="s">
        <v>52</v>
      </c>
      <c r="K7" s="3" t="s">
        <v>279</v>
      </c>
      <c r="L7" s="2" t="s">
        <v>17</v>
      </c>
    </row>
    <row r="8">
      <c r="A8" s="3" t="s">
        <v>284</v>
      </c>
      <c r="B8" s="3" t="s">
        <v>252</v>
      </c>
      <c r="C8" s="3" t="s">
        <v>281</v>
      </c>
      <c r="D8" s="3" t="s">
        <v>287</v>
      </c>
      <c r="E8" s="3" t="s">
        <v>107</v>
      </c>
      <c r="F8" s="3" t="s">
        <v>31</v>
      </c>
      <c r="G8" s="3" t="s">
        <v>42</v>
      </c>
      <c r="H8" s="4">
        <v>46082.0</v>
      </c>
      <c r="I8" s="4">
        <v>46117.0</v>
      </c>
      <c r="J8" s="3" t="s">
        <v>61</v>
      </c>
      <c r="K8" s="3" t="s">
        <v>291</v>
      </c>
      <c r="L8" s="2" t="s">
        <v>17</v>
      </c>
    </row>
    <row r="9">
      <c r="A9" s="3" t="s">
        <v>292</v>
      </c>
      <c r="B9" s="3" t="s">
        <v>252</v>
      </c>
      <c r="C9" s="3" t="s">
        <v>294</v>
      </c>
      <c r="D9" s="3" t="s">
        <v>295</v>
      </c>
      <c r="E9" s="3" t="s">
        <v>265</v>
      </c>
      <c r="F9" s="3" t="s">
        <v>31</v>
      </c>
      <c r="G9" s="3" t="s">
        <v>86</v>
      </c>
      <c r="H9" s="4">
        <v>46091.0</v>
      </c>
      <c r="I9" s="4">
        <v>46132.0</v>
      </c>
      <c r="J9" s="3" t="s">
        <v>82</v>
      </c>
      <c r="K9" s="3" t="s">
        <v>299</v>
      </c>
      <c r="L9" s="2" t="s">
        <v>17</v>
      </c>
    </row>
  </sheetData>
  <conditionalFormatting sqref="E2:E9">
    <cfRule type="cellIs" dxfId="5" priority="1" operator="equal">
      <formula>"Critical"</formula>
    </cfRule>
  </conditionalFormatting>
  <conditionalFormatting sqref="E2:E9">
    <cfRule type="cellIs" dxfId="11" priority="2" operator="equal">
      <formula>"High"</formula>
    </cfRule>
  </conditionalFormatting>
  <conditionalFormatting sqref="E2:E9">
    <cfRule type="cellIs" dxfId="12" priority="3" operator="equal">
      <formula>"Medium"</formula>
    </cfRule>
  </conditionalFormatting>
  <conditionalFormatting sqref="F2:F9">
    <cfRule type="cellIs" dxfId="13" priority="4" operator="equal">
      <formula>"Closed"</formula>
    </cfRule>
  </conditionalFormatting>
  <conditionalFormatting sqref="F2:F9">
    <cfRule type="cellIs" dxfId="10" priority="5" operator="equal">
      <formula>"open"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75"/>
  </cols>
  <sheetData>
    <row r="1">
      <c r="A1" s="1" t="s">
        <v>201</v>
      </c>
      <c r="B1" s="1" t="s">
        <v>202</v>
      </c>
      <c r="C1" s="1" t="s">
        <v>203</v>
      </c>
      <c r="D1" s="1" t="s">
        <v>8</v>
      </c>
      <c r="E1" s="1" t="s">
        <v>204</v>
      </c>
      <c r="F1" s="1" t="s">
        <v>205</v>
      </c>
      <c r="G1" s="1" t="s">
        <v>10</v>
      </c>
      <c r="H1" s="1" t="s">
        <v>206</v>
      </c>
      <c r="I1" s="2" t="s">
        <v>17</v>
      </c>
    </row>
    <row r="2">
      <c r="A2" s="3" t="s">
        <v>85</v>
      </c>
      <c r="B2" s="3" t="s">
        <v>72</v>
      </c>
      <c r="C2" s="3" t="s">
        <v>207</v>
      </c>
      <c r="D2" s="3" t="s">
        <v>208</v>
      </c>
      <c r="E2" s="3" t="s">
        <v>209</v>
      </c>
      <c r="F2" s="4">
        <v>46101.0</v>
      </c>
      <c r="G2" s="3" t="s">
        <v>33</v>
      </c>
      <c r="H2" s="3" t="s">
        <v>210</v>
      </c>
      <c r="I2" s="2" t="s">
        <v>17</v>
      </c>
    </row>
    <row r="3">
      <c r="A3" s="3" t="s">
        <v>211</v>
      </c>
      <c r="B3" s="3" t="s">
        <v>72</v>
      </c>
      <c r="C3" s="3" t="s">
        <v>212</v>
      </c>
      <c r="D3" s="3" t="s">
        <v>208</v>
      </c>
      <c r="E3" s="3" t="s">
        <v>213</v>
      </c>
      <c r="F3" s="4">
        <v>46101.0</v>
      </c>
      <c r="G3" s="3" t="s">
        <v>33</v>
      </c>
      <c r="H3" s="3" t="s">
        <v>210</v>
      </c>
      <c r="I3" s="2" t="s">
        <v>17</v>
      </c>
    </row>
    <row r="4">
      <c r="A4" s="3" t="s">
        <v>214</v>
      </c>
      <c r="B4" s="3" t="s">
        <v>72</v>
      </c>
      <c r="C4" s="3" t="s">
        <v>215</v>
      </c>
      <c r="D4" s="3" t="s">
        <v>208</v>
      </c>
      <c r="E4" s="3" t="s">
        <v>216</v>
      </c>
      <c r="F4" s="4">
        <v>46101.0</v>
      </c>
      <c r="G4" s="3" t="s">
        <v>33</v>
      </c>
      <c r="H4" s="3" t="s">
        <v>210</v>
      </c>
      <c r="I4" s="2" t="s">
        <v>17</v>
      </c>
    </row>
    <row r="5">
      <c r="A5" s="3" t="s">
        <v>123</v>
      </c>
      <c r="B5" s="3" t="s">
        <v>113</v>
      </c>
      <c r="C5" s="3" t="s">
        <v>218</v>
      </c>
      <c r="D5" s="3" t="s">
        <v>208</v>
      </c>
      <c r="E5" s="3" t="s">
        <v>219</v>
      </c>
      <c r="F5" s="4">
        <v>46101.0</v>
      </c>
      <c r="G5" s="3" t="s">
        <v>33</v>
      </c>
      <c r="H5" s="3" t="s">
        <v>210</v>
      </c>
      <c r="I5" s="2" t="s">
        <v>17</v>
      </c>
    </row>
    <row r="6">
      <c r="A6" s="3" t="s">
        <v>220</v>
      </c>
      <c r="B6" s="3" t="s">
        <v>113</v>
      </c>
      <c r="C6" s="3" t="s">
        <v>222</v>
      </c>
      <c r="D6" s="3" t="s">
        <v>208</v>
      </c>
      <c r="E6" s="3" t="s">
        <v>224</v>
      </c>
      <c r="F6" s="4">
        <v>46101.0</v>
      </c>
      <c r="G6" s="3" t="s">
        <v>33</v>
      </c>
      <c r="H6" s="3" t="s">
        <v>210</v>
      </c>
      <c r="I6" s="2" t="s">
        <v>17</v>
      </c>
    </row>
    <row r="7">
      <c r="A7" s="3" t="s">
        <v>176</v>
      </c>
      <c r="B7" s="3" t="s">
        <v>227</v>
      </c>
      <c r="C7" s="3" t="s">
        <v>228</v>
      </c>
      <c r="D7" s="3" t="s">
        <v>208</v>
      </c>
      <c r="E7" s="3" t="s">
        <v>229</v>
      </c>
      <c r="F7" s="4">
        <v>46101.0</v>
      </c>
      <c r="G7" s="3" t="s">
        <v>33</v>
      </c>
      <c r="H7" s="3" t="s">
        <v>210</v>
      </c>
      <c r="I7" s="2" t="s">
        <v>17</v>
      </c>
    </row>
    <row r="8">
      <c r="A8" s="3" t="s">
        <v>172</v>
      </c>
      <c r="B8" s="3" t="s">
        <v>233</v>
      </c>
      <c r="C8" s="3" t="s">
        <v>235</v>
      </c>
      <c r="D8" s="3" t="s">
        <v>208</v>
      </c>
      <c r="E8" s="3" t="s">
        <v>236</v>
      </c>
      <c r="F8" s="4">
        <v>46101.0</v>
      </c>
      <c r="G8" s="3" t="s">
        <v>33</v>
      </c>
      <c r="H8" s="3" t="s">
        <v>210</v>
      </c>
      <c r="I8" s="2" t="s">
        <v>17</v>
      </c>
    </row>
    <row r="9">
      <c r="A9" s="3" t="s">
        <v>188</v>
      </c>
      <c r="B9" s="3" t="s">
        <v>185</v>
      </c>
      <c r="C9" s="3" t="s">
        <v>238</v>
      </c>
      <c r="D9" s="3" t="s">
        <v>208</v>
      </c>
      <c r="E9" s="3" t="s">
        <v>241</v>
      </c>
      <c r="F9" s="4">
        <v>46101.0</v>
      </c>
      <c r="G9" s="3" t="s">
        <v>33</v>
      </c>
      <c r="H9" s="3" t="s">
        <v>210</v>
      </c>
      <c r="I9" s="2" t="s">
        <v>17</v>
      </c>
    </row>
    <row r="10">
      <c r="A10" s="3" t="s">
        <v>244</v>
      </c>
      <c r="B10" s="3" t="s">
        <v>185</v>
      </c>
      <c r="C10" s="3" t="s">
        <v>245</v>
      </c>
      <c r="D10" s="3" t="s">
        <v>208</v>
      </c>
      <c r="E10" s="3" t="s">
        <v>246</v>
      </c>
      <c r="F10" s="4">
        <v>46101.0</v>
      </c>
      <c r="G10" s="3" t="s">
        <v>33</v>
      </c>
      <c r="H10" s="3" t="s">
        <v>210</v>
      </c>
      <c r="I10" s="2" t="s">
        <v>17</v>
      </c>
    </row>
    <row r="11">
      <c r="A11" s="3" t="s">
        <v>248</v>
      </c>
      <c r="B11" s="3" t="s">
        <v>249</v>
      </c>
      <c r="C11" s="3" t="s">
        <v>251</v>
      </c>
      <c r="D11" s="3" t="s">
        <v>208</v>
      </c>
      <c r="E11" s="3" t="s">
        <v>254</v>
      </c>
      <c r="F11" s="4">
        <v>46101.0</v>
      </c>
      <c r="G11" s="3" t="s">
        <v>33</v>
      </c>
      <c r="H11" s="3" t="s">
        <v>210</v>
      </c>
      <c r="I11" s="2" t="s">
        <v>17</v>
      </c>
    </row>
    <row r="12">
      <c r="A12" s="3" t="s">
        <v>255</v>
      </c>
      <c r="B12" s="3" t="s">
        <v>130</v>
      </c>
      <c r="C12" s="3" t="s">
        <v>256</v>
      </c>
      <c r="D12" s="3" t="s">
        <v>208</v>
      </c>
      <c r="E12" s="3" t="s">
        <v>257</v>
      </c>
      <c r="F12" s="4">
        <v>46101.0</v>
      </c>
      <c r="G12" s="3" t="s">
        <v>33</v>
      </c>
      <c r="H12" s="3" t="s">
        <v>210</v>
      </c>
      <c r="I12" s="2" t="s">
        <v>17</v>
      </c>
    </row>
    <row r="13">
      <c r="A13" s="3" t="s">
        <v>259</v>
      </c>
      <c r="B13" s="3" t="s">
        <v>261</v>
      </c>
      <c r="C13" s="3" t="s">
        <v>262</v>
      </c>
      <c r="D13" s="3" t="s">
        <v>208</v>
      </c>
      <c r="E13" s="3" t="s">
        <v>264</v>
      </c>
      <c r="F13" s="4">
        <v>46101.0</v>
      </c>
      <c r="G13" s="3" t="s">
        <v>33</v>
      </c>
      <c r="H13" s="3" t="s">
        <v>210</v>
      </c>
      <c r="I13" s="2" t="s">
        <v>17</v>
      </c>
    </row>
  </sheetData>
  <conditionalFormatting sqref="D1:D999">
    <cfRule type="cellIs" dxfId="0" priority="1" operator="equal">
      <formula>"Captured"</formula>
    </cfRule>
  </conditionalFormatting>
  <conditionalFormatting sqref="D1:D999">
    <cfRule type="cellIs" dxfId="10" priority="2" operator="equal">
      <formula>"Pending"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88"/>
    <col customWidth="1" min="7" max="7" width="17.75"/>
  </cols>
  <sheetData>
    <row r="1">
      <c r="A1" s="1" t="s">
        <v>271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10</v>
      </c>
      <c r="G1" s="1" t="s">
        <v>20</v>
      </c>
      <c r="H1" s="1" t="s">
        <v>22</v>
      </c>
      <c r="I1" s="1" t="s">
        <v>234</v>
      </c>
      <c r="J1" s="2" t="s">
        <v>17</v>
      </c>
    </row>
    <row r="2">
      <c r="A2" s="3" t="s">
        <v>280</v>
      </c>
      <c r="B2" s="3" t="s">
        <v>64</v>
      </c>
      <c r="C2" s="3" t="s">
        <v>281</v>
      </c>
      <c r="D2" s="3" t="s">
        <v>282</v>
      </c>
      <c r="E2" s="3" t="s">
        <v>44</v>
      </c>
      <c r="F2" s="3" t="s">
        <v>42</v>
      </c>
      <c r="G2" s="3" t="s">
        <v>283</v>
      </c>
      <c r="H2" s="4">
        <v>46117.0</v>
      </c>
      <c r="I2" s="3" t="s">
        <v>107</v>
      </c>
      <c r="J2" s="2" t="s">
        <v>17</v>
      </c>
    </row>
    <row r="3">
      <c r="A3" s="3" t="s">
        <v>285</v>
      </c>
      <c r="B3" s="3" t="s">
        <v>39</v>
      </c>
      <c r="C3" s="3" t="s">
        <v>286</v>
      </c>
      <c r="D3" s="3" t="s">
        <v>40</v>
      </c>
      <c r="E3" s="3" t="s">
        <v>79</v>
      </c>
      <c r="F3" s="3" t="s">
        <v>33</v>
      </c>
      <c r="G3" s="3" t="s">
        <v>288</v>
      </c>
      <c r="H3" s="4">
        <v>46172.0</v>
      </c>
      <c r="I3" s="3" t="s">
        <v>266</v>
      </c>
      <c r="J3" s="2" t="s">
        <v>17</v>
      </c>
    </row>
    <row r="4">
      <c r="A4" s="3" t="s">
        <v>289</v>
      </c>
      <c r="B4" s="3" t="s">
        <v>164</v>
      </c>
      <c r="C4" s="3" t="s">
        <v>290</v>
      </c>
      <c r="D4" s="3" t="s">
        <v>40</v>
      </c>
      <c r="E4" s="3" t="s">
        <v>79</v>
      </c>
      <c r="F4" s="3" t="s">
        <v>86</v>
      </c>
      <c r="G4" s="3" t="s">
        <v>199</v>
      </c>
      <c r="H4" s="4">
        <v>46132.0</v>
      </c>
      <c r="I4" s="3" t="s">
        <v>293</v>
      </c>
      <c r="J4" s="2" t="s">
        <v>17</v>
      </c>
    </row>
    <row r="5">
      <c r="A5" s="3" t="s">
        <v>296</v>
      </c>
      <c r="B5" s="3" t="s">
        <v>156</v>
      </c>
      <c r="C5" s="3" t="s">
        <v>297</v>
      </c>
      <c r="D5" s="3" t="s">
        <v>157</v>
      </c>
      <c r="E5" s="3" t="s">
        <v>298</v>
      </c>
      <c r="F5" s="3" t="s">
        <v>193</v>
      </c>
      <c r="G5" s="3" t="s">
        <v>300</v>
      </c>
      <c r="H5" s="4">
        <v>46112.0</v>
      </c>
      <c r="I5" s="3" t="s">
        <v>301</v>
      </c>
      <c r="J5" s="2" t="s">
        <v>17</v>
      </c>
    </row>
    <row r="6">
      <c r="A6" s="3" t="s">
        <v>302</v>
      </c>
      <c r="B6" s="3" t="s">
        <v>303</v>
      </c>
      <c r="C6" s="3" t="s">
        <v>304</v>
      </c>
      <c r="D6" s="3" t="s">
        <v>40</v>
      </c>
      <c r="E6" s="3" t="s">
        <v>79</v>
      </c>
      <c r="F6" s="3" t="s">
        <v>86</v>
      </c>
      <c r="G6" s="3" t="s">
        <v>305</v>
      </c>
      <c r="H6" s="4">
        <v>46203.0</v>
      </c>
      <c r="I6" s="3" t="s">
        <v>306</v>
      </c>
      <c r="J6" s="2" t="s">
        <v>17</v>
      </c>
    </row>
    <row r="7">
      <c r="A7" s="3" t="s">
        <v>307</v>
      </c>
      <c r="B7" s="3" t="s">
        <v>308</v>
      </c>
      <c r="C7" s="3" t="s">
        <v>309</v>
      </c>
      <c r="D7" s="3" t="s">
        <v>65</v>
      </c>
      <c r="E7" s="3" t="s">
        <v>44</v>
      </c>
      <c r="F7" s="3" t="s">
        <v>193</v>
      </c>
      <c r="G7" s="3" t="s">
        <v>310</v>
      </c>
      <c r="H7" s="4">
        <v>46188.0</v>
      </c>
      <c r="I7" s="3" t="s">
        <v>311</v>
      </c>
      <c r="J7" s="2" t="s">
        <v>17</v>
      </c>
    </row>
    <row r="8">
      <c r="A8" s="3" t="s">
        <v>312</v>
      </c>
      <c r="B8" s="3" t="s">
        <v>313</v>
      </c>
      <c r="C8" s="3" t="s">
        <v>314</v>
      </c>
      <c r="D8" s="3" t="s">
        <v>40</v>
      </c>
      <c r="E8" s="3" t="s">
        <v>79</v>
      </c>
      <c r="F8" s="3" t="s">
        <v>315</v>
      </c>
      <c r="G8" s="3" t="s">
        <v>316</v>
      </c>
      <c r="H8" s="4">
        <v>46234.0</v>
      </c>
      <c r="I8" s="3" t="s">
        <v>317</v>
      </c>
      <c r="J8" s="2" t="s">
        <v>17</v>
      </c>
    </row>
    <row r="9">
      <c r="A9" s="3" t="s">
        <v>318</v>
      </c>
      <c r="B9" s="3" t="s">
        <v>319</v>
      </c>
      <c r="C9" s="3" t="s">
        <v>320</v>
      </c>
      <c r="D9" s="3" t="s">
        <v>40</v>
      </c>
      <c r="E9" s="3" t="s">
        <v>79</v>
      </c>
      <c r="F9" s="3" t="s">
        <v>33</v>
      </c>
      <c r="G9" s="3" t="s">
        <v>321</v>
      </c>
      <c r="H9" s="4">
        <v>46173.0</v>
      </c>
      <c r="I9" s="3" t="s">
        <v>322</v>
      </c>
      <c r="J9" s="2" t="s">
        <v>17</v>
      </c>
    </row>
  </sheetData>
  <conditionalFormatting sqref="E1:E999">
    <cfRule type="cellIs" dxfId="14" priority="1" operator="equal">
      <formula>"red"</formula>
    </cfRule>
  </conditionalFormatting>
  <conditionalFormatting sqref="E1:E999">
    <cfRule type="cellIs" dxfId="15" priority="2" operator="equal">
      <formula>"amber"</formula>
    </cfRule>
  </conditionalFormatting>
  <conditionalFormatting sqref="E1:E999">
    <cfRule type="notContainsBlanks" dxfId="16" priority="3">
      <formula>LEN(TRIM(E1))&gt;0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3" width="27.38"/>
  </cols>
  <sheetData>
    <row r="1">
      <c r="A1" s="7" t="s">
        <v>323</v>
      </c>
      <c r="B1" s="7" t="s">
        <v>324</v>
      </c>
      <c r="C1" s="7" t="s">
        <v>325</v>
      </c>
      <c r="D1" s="7" t="s">
        <v>326</v>
      </c>
      <c r="E1" s="7" t="s">
        <v>11</v>
      </c>
    </row>
    <row r="2">
      <c r="A2" s="8" t="s">
        <v>327</v>
      </c>
      <c r="B2" s="8" t="s">
        <v>328</v>
      </c>
      <c r="C2" s="8" t="s">
        <v>329</v>
      </c>
      <c r="D2" s="8" t="s">
        <v>330</v>
      </c>
      <c r="E2" s="8" t="s">
        <v>331</v>
      </c>
    </row>
    <row r="3">
      <c r="A3" s="8" t="s">
        <v>332</v>
      </c>
      <c r="B3" s="8" t="s">
        <v>333</v>
      </c>
      <c r="C3" s="8" t="s">
        <v>334</v>
      </c>
      <c r="D3" s="8" t="s">
        <v>330</v>
      </c>
      <c r="E3" s="8" t="s">
        <v>331</v>
      </c>
    </row>
    <row r="4">
      <c r="A4" s="8" t="s">
        <v>335</v>
      </c>
      <c r="B4" s="8" t="s">
        <v>336</v>
      </c>
      <c r="C4" s="8" t="s">
        <v>337</v>
      </c>
      <c r="D4" s="8" t="s">
        <v>338</v>
      </c>
      <c r="E4" s="8" t="s">
        <v>331</v>
      </c>
    </row>
    <row r="5">
      <c r="A5" s="8" t="s">
        <v>339</v>
      </c>
      <c r="B5" s="8" t="s">
        <v>340</v>
      </c>
      <c r="C5" s="8" t="s">
        <v>341</v>
      </c>
      <c r="D5" s="8" t="s">
        <v>330</v>
      </c>
      <c r="E5" s="8" t="s">
        <v>342</v>
      </c>
    </row>
    <row r="6">
      <c r="A6" s="8" t="s">
        <v>343</v>
      </c>
      <c r="B6" s="8" t="s">
        <v>344</v>
      </c>
      <c r="C6" s="8" t="s">
        <v>341</v>
      </c>
      <c r="D6" s="8" t="s">
        <v>345</v>
      </c>
      <c r="E6" s="8" t="s">
        <v>331</v>
      </c>
    </row>
    <row r="7">
      <c r="A7" s="8" t="s">
        <v>346</v>
      </c>
      <c r="B7" s="8" t="s">
        <v>347</v>
      </c>
      <c r="C7" s="8" t="s">
        <v>348</v>
      </c>
      <c r="D7" s="8" t="s">
        <v>330</v>
      </c>
      <c r="E7" s="8" t="s">
        <v>133</v>
      </c>
    </row>
    <row r="8">
      <c r="A8" s="8" t="s">
        <v>252</v>
      </c>
      <c r="B8" s="8" t="s">
        <v>349</v>
      </c>
      <c r="C8" s="8" t="s">
        <v>350</v>
      </c>
      <c r="D8" s="8" t="s">
        <v>330</v>
      </c>
      <c r="E8" s="8" t="s">
        <v>154</v>
      </c>
    </row>
    <row r="9">
      <c r="A9" s="8" t="s">
        <v>201</v>
      </c>
      <c r="B9" s="8" t="s">
        <v>351</v>
      </c>
      <c r="C9" s="8" t="s">
        <v>352</v>
      </c>
      <c r="D9" s="8" t="s">
        <v>338</v>
      </c>
      <c r="E9" s="8" t="s">
        <v>170</v>
      </c>
    </row>
    <row r="10">
      <c r="A10" s="8" t="s">
        <v>353</v>
      </c>
      <c r="B10" s="8" t="s">
        <v>354</v>
      </c>
      <c r="C10" s="8" t="s">
        <v>355</v>
      </c>
      <c r="D10" s="8" t="s">
        <v>338</v>
      </c>
      <c r="E10" s="8" t="s">
        <v>162</v>
      </c>
    </row>
    <row r="11">
      <c r="A11" s="9"/>
      <c r="B11" s="9"/>
      <c r="C11" s="9"/>
      <c r="D11" s="9"/>
      <c r="E11" s="9"/>
    </row>
  </sheetData>
  <drawing r:id="rId1"/>
</worksheet>
</file>